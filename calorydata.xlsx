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Log" sheetId="1" state="visible" r:id="rId3"/>
    <sheet name="Goal Summary" sheetId="2" state="visible" r:id="rId4"/>
    <sheet name="Weekly Summary" sheetId="3" state="visible" r:id="rId5"/>
    <sheet name="Monthly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<sst xmlns="http://schemas.openxmlformats.org/spreadsheetml/2006/main" count="140" uniqueCount="59">
  <si>
    <t xml:space="preserve">Date</t>
  </si>
  <si>
    <t xml:space="preserve">Day of Week</t>
  </si>
  <si>
    <t xml:space="preserve">Breakfast (kcal)</t>
  </si>
  <si>
    <t xml:space="preserve">Lunch (kcal)</t>
  </si>
  <si>
    <t xml:space="preserve">Dinner (kcal)</t>
  </si>
  <si>
    <t xml:space="preserve">Snacks (kcal)</t>
  </si>
  <si>
    <t xml:space="preserve">Calories Eaten (ATE)</t>
  </si>
  <si>
    <t xml:space="preserve">Exercise Calories</t>
  </si>
  <si>
    <t xml:space="preserve">Total Calories Burned</t>
  </si>
  <si>
    <t xml:space="preserve">Net Calories (Eaten-Burned)</t>
  </si>
  <si>
    <t xml:space="preserve">Weight (kg)</t>
  </si>
  <si>
    <t xml:space="preserve">Vacay Day?</t>
  </si>
  <si>
    <t xml:space="preserve">Include in Averages?</t>
  </si>
  <si>
    <t xml:space="preserve">No</t>
  </si>
  <si>
    <t xml:space="preserve">Yes</t>
  </si>
  <si>
    <t xml:space="preserve">Notes:</t>
  </si>
  <si>
    <t xml:space="preserve">- Blue cells = raw data entered from the handwritten calendar. Black cells = formulas that recalculate automatically.</t>
  </si>
  <si>
    <t xml:space="preserve">- 'Total Calories Burned' = total daily energy expenditure. 'Exercise Calories' (Jun 8-14 only, diary used a different format that week) = active/workout calories logged separately.</t>
  </si>
  <si>
    <t xml:space="preserve">- Starting weight on 2026-06-08 corrected to 71.3 kg per user (original handwritten note read 70.2 kg).</t>
  </si>
  <si>
    <t xml:space="preserve">- Aug 25, 2026 row is in-progress (only breakfast logged so far, as that's today's date).</t>
  </si>
  <si>
    <t xml:space="preserve">- To add new days: insert a row, fill in the blue cells, and every formula/chart in this workbook updates automatically.</t>
  </si>
  <si>
    <t xml:space="preserve">Weight Loss Goal Summary</t>
  </si>
  <si>
    <t xml:space="preserve">Height (cm)</t>
  </si>
  <si>
    <t xml:space="preserve">Start Date</t>
  </si>
  <si>
    <t xml:space="preserve">Start Weight (kg)</t>
  </si>
  <si>
    <t xml:space="preserve">Goal Weight (kg)</t>
  </si>
  <si>
    <t xml:space="preserve">kcal per kg of body fat</t>
  </si>
  <si>
    <t xml:space="preserve">Latest Logged Weight (kg)</t>
  </si>
  <si>
    <t xml:space="preserve">Latest Weigh-in Date</t>
  </si>
  <si>
    <t xml:space="preserve">Weight Still to Lose (kg)</t>
  </si>
  <si>
    <t xml:space="preserve">Total Weight Lost So Far (kg)</t>
  </si>
  <si>
    <t xml:space="preserve">Average Daily Calories Eaten (excl. vacay)</t>
  </si>
  <si>
    <t xml:space="preserve">Average Daily Calories Burned (excl. vacay)</t>
  </si>
  <si>
    <t xml:space="preserve">Average Daily Net Deficit (Burn-Eat, excl. vacay)</t>
  </si>
  <si>
    <t xml:space="preserve">Estimated Days to Reach Goal (data-driven)</t>
  </si>
  <si>
    <t xml:space="preserve">Estimated Weeks to Reach Goal</t>
  </si>
  <si>
    <t xml:space="preserve">Estimated Goal Date</t>
  </si>
  <si>
    <t xml:space="preserve">Recommended Safe Weekly Loss Range</t>
  </si>
  <si>
    <t xml:space="preserve">0.5 - 0.75 kg/week</t>
  </si>
  <si>
    <t xml:space="preserve">Implied Weeks at Safe Pace (0.6 kg/wk)</t>
  </si>
  <si>
    <t xml:space="preserve">Current BMI</t>
  </si>
  <si>
    <t xml:space="preserve">Goal BMI</t>
  </si>
  <si>
    <t xml:space="preserve">How this updates:</t>
  </si>
  <si>
    <t xml:space="preserve">Add new rows to the 'Daily Log' sheet. Every figure on this sheet - average deficit, days/weeks/date to reach goal, BMI - recalculates automatically. Yellow cells are the only manual inputs (height, start date/weight, goal weight, kcal-per-kg constant).</t>
  </si>
  <si>
    <t xml:space="preserve">Week Start</t>
  </si>
  <si>
    <t xml:space="preserve">Week End</t>
  </si>
  <si>
    <t xml:space="preserve">Avg Calories Eaten</t>
  </si>
  <si>
    <t xml:space="preserve">Avg Calories Burned</t>
  </si>
  <si>
    <t xml:space="preserve">Avg Net Deficit</t>
  </si>
  <si>
    <t xml:space="preserve">Days Logged</t>
  </si>
  <si>
    <t xml:space="preserve">End-of-Week Weight (kg)</t>
  </si>
  <si>
    <t xml:space="preserve">Weight Change vs Prior Week (kg)</t>
  </si>
  <si>
    <t xml:space="preserve">Month</t>
  </si>
  <si>
    <t xml:space="preserve">Start-of-Month Weight (kg)</t>
  </si>
  <si>
    <t xml:space="preserve">End-of-Month Weight (kg)</t>
  </si>
  <si>
    <t xml:space="preserve">Weight Change (kg)</t>
  </si>
  <si>
    <t xml:space="preserve">June 2026</t>
  </si>
  <si>
    <t xml:space="preserve">July 2026</t>
  </si>
  <si>
    <t xml:space="preserve">August 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</si>
</sst>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.0"/>
    <numFmt numFmtId="167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4"/>
      <color rgb="FF2C3E5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FDE9D9"/>
        <bgColor rgb="FFFFF2CC"/>
      </patternFill>
    </fill>
    <fill>
      <patternFill patternType="solid">
        <fgColor rgb="FFFFF2CC"/>
        <bgColor rgb="FFFDE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D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End-of-Week Weight Trend (kg)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'Weekly Summary'!G1</c:f>
              <c:strCache>
                <c:ptCount val="1"/>
                <c:pt idx="0">
                  <c:v>End-of-Week Weight (kg)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Summary'!$A$2:$A$13</c:f>
              <c:strCache>
                <c:ptCount val="12"/>
                <c:pt idx="0">
                  <c:v>2026-06-08</c:v>
                </c:pt>
                <c:pt idx="1">
                  <c:v>2026-06-15</c:v>
                </c:pt>
                <c:pt idx="2">
                  <c:v>2026-06-22</c:v>
                </c:pt>
                <c:pt idx="3">
                  <c:v>2026-06-29</c:v>
                </c:pt>
                <c:pt idx="4">
                  <c:v>2026-07-06</c:v>
                </c:pt>
                <c:pt idx="5">
                  <c:v>2026-07-13</c:v>
                </c:pt>
                <c:pt idx="6">
                  <c:v>2026-07-20</c:v>
                </c:pt>
                <c:pt idx="7">
                  <c:v>2026-07-27</c:v>
                </c:pt>
                <c:pt idx="8">
                  <c:v>2026-08-03</c:v>
                </c:pt>
                <c:pt idx="9">
                  <c:v>2026-08-10</c:v>
                </c:pt>
                <c:pt idx="10">
                  <c:v>2026-08-17</c:v>
                </c:pt>
                <c:pt idx="11">
                  <c:v>2026-08-24</c:v>
                </c:pt>
              </c:strCache>
            </c:strRef>
          </c:cat>
          <c:val>
            <c:numRef>
              <c:f>'Weekly Summary'!$G$2:$G$13</c:f>
              <c:numCache>
                <c:formatCode>0.0</c:formatCode>
                <c:ptCount val="12"/>
                <c:pt idx="0">
                  <c:v>71.3</c:v>
                </c:pt>
                <c:pt idx="1">
                  <c:v>70.9</c:v>
                </c:pt>
                <c:pt idx="2">
                  <c:v>70.5</c:v>
                </c:pt>
                <c:pt idx="3">
                  <c:v>71.6</c:v>
                </c:pt>
                <c:pt idx="4">
                  <c:v>70.65</c:v>
                </c:pt>
                <c:pt idx="5">
                  <c:v>70.9</c:v>
                </c:pt>
                <c:pt idx="6">
                  <c:v>70.4</c:v>
                </c:pt>
                <c:pt idx="7">
                  <c:v>70.8</c:v>
                </c:pt>
                <c:pt idx="8">
                  <c:v>70.8</c:v>
                </c:pt>
                <c:pt idx="9">
                  <c:v>71</c:v>
                </c:pt>
                <c:pt idx="10">
                  <c:v>71.3</c:v>
                </c:pt>
                <c:pt idx="11">
                  <c:v>71.2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1794825"/>
        <c:axId val="16662447"/>
      </c:lineChart>
      <c:catAx>
        <c:axId val="817948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 Start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662447"/>
        <c:crosses val="autoZero"/>
        <c:auto val="1"/>
        <c:lblAlgn val="ctr"/>
        <c:lblOffset val="100"/>
        <c:noMultiLvlLbl val="0"/>
      </c:catAx>
      <c:valAx>
        <c:axId val="166624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Weight (kg)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7948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Avg Eaten vs Burned (kcal)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'Weekly Summary'!C1</c:f>
              <c:strCache>
                <c:ptCount val="1"/>
                <c:pt idx="0">
                  <c:v>Avg Calories Eaten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Summary'!$A$2:$A$13</c:f>
              <c:strCache>
                <c:ptCount val="12"/>
                <c:pt idx="0">
                  <c:v>2026-06-08</c:v>
                </c:pt>
                <c:pt idx="1">
                  <c:v>2026-06-15</c:v>
                </c:pt>
                <c:pt idx="2">
                  <c:v>2026-06-22</c:v>
                </c:pt>
                <c:pt idx="3">
                  <c:v>2026-06-29</c:v>
                </c:pt>
                <c:pt idx="4">
                  <c:v>2026-07-06</c:v>
                </c:pt>
                <c:pt idx="5">
                  <c:v>2026-07-13</c:v>
                </c:pt>
                <c:pt idx="6">
                  <c:v>2026-07-20</c:v>
                </c:pt>
                <c:pt idx="7">
                  <c:v>2026-07-27</c:v>
                </c:pt>
                <c:pt idx="8">
                  <c:v>2026-08-03</c:v>
                </c:pt>
                <c:pt idx="9">
                  <c:v>2026-08-10</c:v>
                </c:pt>
                <c:pt idx="10">
                  <c:v>2026-08-17</c:v>
                </c:pt>
                <c:pt idx="11">
                  <c:v>2026-08-24</c:v>
                </c:pt>
              </c:strCache>
            </c:strRef>
          </c:cat>
          <c:val>
            <c:numRef>
              <c:f>'Weekly Summary'!$C$2:$C$13</c:f>
              <c:numCache>
                <c:formatCode>0</c:formatCode>
                <c:ptCount val="12"/>
                <c:pt idx="0">
                  <c:v>1825.71428571429</c:v>
                </c:pt>
                <c:pt idx="1">
                  <c:v>1677.85714285714</c:v>
                </c:pt>
                <c:pt idx="2">
                  <c:v>1740</c:v>
                </c:pt>
                <c:pt idx="3">
                  <c:v>1826.42857142857</c:v>
                </c:pt>
                <c:pt idx="4">
                  <c:v>1720.71428571429</c:v>
                </c:pt>
                <c:pt idx="5">
                  <c:v>1803.57142857143</c:v>
                </c:pt>
                <c:pt idx="6">
                  <c:v>1611.42857142857</c:v>
                </c:pt>
                <c:pt idx="7">
                  <c:v>1720</c:v>
                </c:pt>
                <c:pt idx="8">
                  <c:v>1687.57142857143</c:v>
                </c:pt>
                <c:pt idx="9">
                  <c:v>1847.14285714286</c:v>
                </c:pt>
                <c:pt idx="10">
                  <c:v>1654.28571428571</c:v>
                </c:pt>
                <c:pt idx="11">
                  <c:v>1900</c:v>
                </c:pt>
              </c:numCache>
            </c:numRef>
          </c:val>
        </c:ser>
        <c:ser>
          <c:idx val="1"/>
          <c:order val="1"/>
          <c:tx>
            <c:strRef>
              <c:f>'Weekly Summary'!D1</c:f>
              <c:strCache>
                <c:ptCount val="1"/>
                <c:pt idx="0">
                  <c:v>Avg Calories Burned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Summary'!$A$2:$A$13</c:f>
              <c:strCache>
                <c:ptCount val="12"/>
                <c:pt idx="0">
                  <c:v>2026-06-08</c:v>
                </c:pt>
                <c:pt idx="1">
                  <c:v>2026-06-15</c:v>
                </c:pt>
                <c:pt idx="2">
                  <c:v>2026-06-22</c:v>
                </c:pt>
                <c:pt idx="3">
                  <c:v>2026-06-29</c:v>
                </c:pt>
                <c:pt idx="4">
                  <c:v>2026-07-06</c:v>
                </c:pt>
                <c:pt idx="5">
                  <c:v>2026-07-13</c:v>
                </c:pt>
                <c:pt idx="6">
                  <c:v>2026-07-20</c:v>
                </c:pt>
                <c:pt idx="7">
                  <c:v>2026-07-27</c:v>
                </c:pt>
                <c:pt idx="8">
                  <c:v>2026-08-03</c:v>
                </c:pt>
                <c:pt idx="9">
                  <c:v>2026-08-10</c:v>
                </c:pt>
                <c:pt idx="10">
                  <c:v>2026-08-17</c:v>
                </c:pt>
                <c:pt idx="11">
                  <c:v>2026-08-24</c:v>
                </c:pt>
              </c:strCache>
            </c:strRef>
          </c:cat>
          <c:val>
            <c:numRef>
              <c:f>'Weekly Summary'!$D$2:$D$13</c:f>
              <c:numCache>
                <c:formatCode>0</c:formatCode>
                <c:ptCount val="12"/>
                <c:pt idx="0">
                  <c:v>1537</c:v>
                </c:pt>
                <c:pt idx="1">
                  <c:v>1675</c:v>
                </c:pt>
                <c:pt idx="2">
                  <c:v>1704</c:v>
                </c:pt>
                <c:pt idx="3">
                  <c:v>1701.57142857143</c:v>
                </c:pt>
                <c:pt idx="4">
                  <c:v>1673.42857142857</c:v>
                </c:pt>
                <c:pt idx="5">
                  <c:v>1641.14285714286</c:v>
                </c:pt>
                <c:pt idx="6">
                  <c:v>1744.42857142857</c:v>
                </c:pt>
                <c:pt idx="7">
                  <c:v>1950.85714285714</c:v>
                </c:pt>
                <c:pt idx="8">
                  <c:v>1936.85714285714</c:v>
                </c:pt>
                <c:pt idx="9">
                  <c:v>1802.42857142857</c:v>
                </c:pt>
                <c:pt idx="10">
                  <c:v>1607.71428571429</c:v>
                </c:pt>
                <c:pt idx="11">
                  <c:v>1643</c:v>
                </c:pt>
              </c:numCache>
            </c:numRef>
          </c:val>
        </c:ser>
        <c:gapWidth val="150"/>
        <c:overlap val="0"/>
        <c:axId val="9887397"/>
        <c:axId val="69368669"/>
      </c:barChart>
      <c:catAx>
        <c:axId val="9887397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368669"/>
        <c:crosses val="autoZero"/>
        <c:auto val="1"/>
        <c:lblAlgn val="ctr"/>
        <c:lblOffset val="100"/>
        <c:noMultiLvlLbl val="0"/>
      </c:catAx>
      <c:valAx>
        <c:axId val="693686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kcal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873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0</xdr:row>
      <xdr:rowOff>190440</xdr:rowOff>
    </xdr:from>
    <xdr:to>
      <xdr:col>19</xdr:col>
      <xdr:colOff>364680</xdr:colOff>
      <xdr:row>15</xdr:row>
      <xdr:rowOff>61920</xdr:rowOff>
    </xdr:to>
    <xdr:graphicFrame>
      <xdr:nvGraphicFramePr>
        <xdr:cNvPr id="0" name="Chart 1"/>
        <xdr:cNvGraphicFramePr/>
      </xdr:nvGraphicFramePr>
      <xdr:xfrm>
        <a:off x="9069840" y="190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18</xdr:row>
      <xdr:rowOff>39960</xdr:rowOff>
    </xdr:from>
    <xdr:to>
      <xdr:col>19</xdr:col>
      <xdr:colOff>364680</xdr:colOff>
      <xdr:row>33</xdr:row>
      <xdr:rowOff>61920</xdr:rowOff>
    </xdr:to>
    <xdr:graphicFrame>
      <xdr:nvGraphicFramePr>
        <xdr:cNvPr id="1" name="Chart 2"/>
        <xdr:cNvGraphicFramePr/>
      </xdr:nvGraphicFramePr>
      <xdr:xfrm>
        <a:off x="9069840" y="3619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6" min="4" style="0" width="10"/>
    <col collapsed="false" customWidth="true" hidden="false" outlineLevel="0" max="8" min="7" style="0" width="14"/>
    <col collapsed="false" customWidth="true" hidden="false" outlineLevel="0" max="10" min="9" style="0" width="16"/>
    <col collapsed="false" customWidth="true" hidden="false" outlineLevel="0" max="12" min="11" style="0" width="10"/>
    <col collapsed="false" customWidth="true" hidden="false" outlineLevel="0" max="13" min="13" style="0" width="1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46181</v>
      </c>
      <c r="B2" s="3" t="str">
        <f aca="false">TEXT(A2,"ddd")</f>
        <v>Mon</v>
      </c>
      <c r="C2" s="4" t="n">
        <v>290</v>
      </c>
      <c r="D2" s="4" t="n">
        <v>300</v>
      </c>
      <c r="E2" s="4" t="n">
        <v>480</v>
      </c>
      <c r="F2" s="4" t="n">
        <v>1070</v>
      </c>
      <c r="G2" s="4" t="n">
        <v>2140</v>
      </c>
      <c r="H2" s="4" t="n">
        <v>250</v>
      </c>
      <c r="I2" s="4" t="n">
        <v>1828</v>
      </c>
      <c r="J2" s="3" t="n">
        <f aca="false">IF(OR(G2="",I2=""),"",G2-I2)</f>
        <v>312</v>
      </c>
      <c r="K2" s="5" t="n">
        <v>71.3</v>
      </c>
      <c r="L2" s="4" t="s">
        <v>13</v>
      </c>
      <c r="M2" s="3" t="n">
        <f aca="false">IF(AND(L2="No",I2&lt;&gt;""),1,0)</f>
        <v>1</v>
      </c>
    </row>
    <row r="3" customFormat="false" ht="15" hidden="false" customHeight="false" outlineLevel="0" collapsed="false">
      <c r="A3" s="2" t="n">
        <v>46182</v>
      </c>
      <c r="B3" s="3" t="str">
        <f aca="false">TEXT(A3,"ddd")</f>
        <v>Tue</v>
      </c>
      <c r="C3" s="4" t="n">
        <v>320</v>
      </c>
      <c r="D3" s="4" t="n">
        <v>650</v>
      </c>
      <c r="E3" s="4" t="n">
        <v>380</v>
      </c>
      <c r="F3" s="4" t="n">
        <v>330</v>
      </c>
      <c r="G3" s="4" t="n">
        <v>1680</v>
      </c>
      <c r="H3" s="4" t="n">
        <v>200</v>
      </c>
      <c r="I3" s="4" t="n">
        <v>1010</v>
      </c>
      <c r="J3" s="3" t="n">
        <f aca="false">IF(OR(G3="",I3=""),"",G3-I3)</f>
        <v>670</v>
      </c>
      <c r="K3" s="5"/>
      <c r="L3" s="4" t="s">
        <v>13</v>
      </c>
      <c r="M3" s="3" t="n">
        <f aca="false">IF(AND(L3="No",I3&lt;&gt;""),1,0)</f>
        <v>1</v>
      </c>
    </row>
    <row r="4" customFormat="false" ht="15" hidden="false" customHeight="false" outlineLevel="0" collapsed="false">
      <c r="A4" s="2" t="n">
        <v>46183</v>
      </c>
      <c r="B4" s="3" t="str">
        <f aca="false">TEXT(A4,"ddd")</f>
        <v>Wed</v>
      </c>
      <c r="C4" s="4" t="n">
        <v>230</v>
      </c>
      <c r="D4" s="4" t="n">
        <v>750</v>
      </c>
      <c r="E4" s="4" t="n">
        <v>760</v>
      </c>
      <c r="F4" s="4" t="n">
        <v>270</v>
      </c>
      <c r="G4" s="4" t="n">
        <v>2010</v>
      </c>
      <c r="H4" s="4" t="n">
        <v>300</v>
      </c>
      <c r="I4" s="4" t="n">
        <v>1802</v>
      </c>
      <c r="J4" s="3" t="n">
        <f aca="false">IF(OR(G4="",I4=""),"",G4-I4)</f>
        <v>208</v>
      </c>
      <c r="K4" s="5"/>
      <c r="L4" s="4" t="s">
        <v>13</v>
      </c>
      <c r="M4" s="3" t="n">
        <f aca="false">IF(AND(L4="No",I4&lt;&gt;""),1,0)</f>
        <v>1</v>
      </c>
    </row>
    <row r="5" customFormat="false" ht="15" hidden="false" customHeight="false" outlineLevel="0" collapsed="false">
      <c r="A5" s="2" t="n">
        <v>46184</v>
      </c>
      <c r="B5" s="3" t="str">
        <f aca="false">TEXT(A5,"ddd")</f>
        <v>Thu</v>
      </c>
      <c r="C5" s="4" t="n">
        <v>240</v>
      </c>
      <c r="D5" s="4" t="n">
        <v>490</v>
      </c>
      <c r="E5" s="4" t="n">
        <v>780</v>
      </c>
      <c r="F5" s="4" t="n">
        <v>0</v>
      </c>
      <c r="G5" s="4" t="n">
        <v>1510</v>
      </c>
      <c r="H5" s="4" t="n">
        <v>325</v>
      </c>
      <c r="I5" s="4" t="n">
        <v>1420</v>
      </c>
      <c r="J5" s="3" t="n">
        <f aca="false">IF(OR(G5="",I5=""),"",G5-I5)</f>
        <v>90</v>
      </c>
      <c r="K5" s="5"/>
      <c r="L5" s="4" t="s">
        <v>13</v>
      </c>
      <c r="M5" s="3" t="n">
        <f aca="false">IF(AND(L5="No",I5&lt;&gt;""),1,0)</f>
        <v>1</v>
      </c>
    </row>
    <row r="6" customFormat="false" ht="15" hidden="false" customHeight="false" outlineLevel="0" collapsed="false">
      <c r="A6" s="2" t="n">
        <v>46185</v>
      </c>
      <c r="B6" s="3" t="str">
        <f aca="false">TEXT(A6,"ddd")</f>
        <v>Fri</v>
      </c>
      <c r="C6" s="4" t="n">
        <v>370</v>
      </c>
      <c r="D6" s="4" t="n">
        <v>250</v>
      </c>
      <c r="E6" s="4" t="n">
        <v>770</v>
      </c>
      <c r="F6" s="4" t="n">
        <v>360</v>
      </c>
      <c r="G6" s="4" t="n">
        <v>1750</v>
      </c>
      <c r="H6" s="4" t="n">
        <v>150</v>
      </c>
      <c r="I6" s="4" t="n">
        <v>1125</v>
      </c>
      <c r="J6" s="3" t="n">
        <f aca="false">IF(OR(G6="",I6=""),"",G6-I6)</f>
        <v>625</v>
      </c>
      <c r="K6" s="5"/>
      <c r="L6" s="4" t="s">
        <v>13</v>
      </c>
      <c r="M6" s="3" t="n">
        <f aca="false">IF(AND(L6="No",I6&lt;&gt;""),1,0)</f>
        <v>1</v>
      </c>
    </row>
    <row r="7" customFormat="false" ht="15" hidden="false" customHeight="false" outlineLevel="0" collapsed="false">
      <c r="A7" s="2" t="n">
        <v>46186</v>
      </c>
      <c r="B7" s="3" t="str">
        <f aca="false">TEXT(A7,"ddd")</f>
        <v>Sat</v>
      </c>
      <c r="C7" s="4" t="n">
        <v>230</v>
      </c>
      <c r="D7" s="4" t="n">
        <v>750</v>
      </c>
      <c r="E7" s="4" t="n">
        <v>710</v>
      </c>
      <c r="F7" s="4" t="n">
        <v>200</v>
      </c>
      <c r="G7" s="4" t="n">
        <v>1890</v>
      </c>
      <c r="H7" s="4" t="n">
        <v>275</v>
      </c>
      <c r="I7" s="4" t="n">
        <v>1803</v>
      </c>
      <c r="J7" s="3" t="n">
        <f aca="false">IF(OR(G7="",I7=""),"",G7-I7)</f>
        <v>87</v>
      </c>
      <c r="K7" s="5"/>
      <c r="L7" s="4" t="s">
        <v>13</v>
      </c>
      <c r="M7" s="3" t="n">
        <f aca="false">IF(AND(L7="No",I7&lt;&gt;""),1,0)</f>
        <v>1</v>
      </c>
    </row>
    <row r="8" customFormat="false" ht="15" hidden="false" customHeight="false" outlineLevel="0" collapsed="false">
      <c r="A8" s="2" t="n">
        <v>46187</v>
      </c>
      <c r="B8" s="3" t="str">
        <f aca="false">TEXT(A8,"ddd")</f>
        <v>Sun</v>
      </c>
      <c r="C8" s="4" t="n">
        <v>280</v>
      </c>
      <c r="D8" s="4" t="n">
        <v>800</v>
      </c>
      <c r="E8" s="4" t="n">
        <v>540</v>
      </c>
      <c r="F8" s="4" t="n">
        <v>180</v>
      </c>
      <c r="G8" s="4" t="n">
        <v>1800</v>
      </c>
      <c r="H8" s="4" t="n">
        <v>250</v>
      </c>
      <c r="I8" s="4" t="n">
        <v>1771</v>
      </c>
      <c r="J8" s="3" t="n">
        <f aca="false">IF(OR(G8="",I8=""),"",G8-I8)</f>
        <v>29</v>
      </c>
      <c r="K8" s="5"/>
      <c r="L8" s="4" t="s">
        <v>13</v>
      </c>
      <c r="M8" s="3" t="n">
        <f aca="false">IF(AND(L8="No",I8&lt;&gt;""),1,0)</f>
        <v>1</v>
      </c>
    </row>
    <row r="9" customFormat="false" ht="15" hidden="false" customHeight="false" outlineLevel="0" collapsed="false">
      <c r="A9" s="2" t="n">
        <v>46188</v>
      </c>
      <c r="B9" s="3" t="str">
        <f aca="false">TEXT(A9,"ddd")</f>
        <v>Mon</v>
      </c>
      <c r="C9" s="4" t="n">
        <v>600</v>
      </c>
      <c r="D9" s="4" t="n">
        <v>500</v>
      </c>
      <c r="E9" s="4" t="n">
        <v>810</v>
      </c>
      <c r="F9" s="4" t="n">
        <v>990</v>
      </c>
      <c r="G9" s="4" t="n">
        <v>2410</v>
      </c>
      <c r="H9" s="4"/>
      <c r="I9" s="4" t="n">
        <v>1705</v>
      </c>
      <c r="J9" s="3" t="n">
        <f aca="false">IF(OR(G9="",I9=""),"",G9-I9)</f>
        <v>705</v>
      </c>
      <c r="K9" s="5" t="n">
        <v>70.9</v>
      </c>
      <c r="L9" s="4" t="s">
        <v>13</v>
      </c>
      <c r="M9" s="3" t="n">
        <f aca="false">IF(AND(L9="No",I9&lt;&gt;""),1,0)</f>
        <v>1</v>
      </c>
    </row>
    <row r="10" customFormat="false" ht="15" hidden="false" customHeight="false" outlineLevel="0" collapsed="false">
      <c r="A10" s="2" t="n">
        <v>46189</v>
      </c>
      <c r="B10" s="3" t="str">
        <f aca="false">TEXT(A10,"ddd")</f>
        <v>Tue</v>
      </c>
      <c r="C10" s="4" t="n">
        <v>230</v>
      </c>
      <c r="D10" s="4" t="n">
        <v>530</v>
      </c>
      <c r="E10" s="4" t="n">
        <v>510</v>
      </c>
      <c r="F10" s="4" t="n">
        <v>130</v>
      </c>
      <c r="G10" s="4" t="n">
        <v>1400</v>
      </c>
      <c r="H10" s="4"/>
      <c r="I10" s="4" t="n">
        <v>1688</v>
      </c>
      <c r="J10" s="3" t="n">
        <f aca="false">IF(OR(G10="",I10=""),"",G10-I10)</f>
        <v>-288</v>
      </c>
      <c r="K10" s="5"/>
      <c r="L10" s="4" t="s">
        <v>13</v>
      </c>
      <c r="M10" s="3" t="n">
        <f aca="false">IF(AND(L10="No",I10&lt;&gt;""),1,0)</f>
        <v>1</v>
      </c>
    </row>
    <row r="11" customFormat="false" ht="15" hidden="false" customHeight="false" outlineLevel="0" collapsed="false">
      <c r="A11" s="2" t="n">
        <v>46190</v>
      </c>
      <c r="B11" s="3" t="str">
        <f aca="false">TEXT(A11,"ddd")</f>
        <v>Wed</v>
      </c>
      <c r="C11" s="4" t="n">
        <v>340</v>
      </c>
      <c r="D11" s="4" t="n">
        <v>600</v>
      </c>
      <c r="E11" s="4" t="n">
        <v>550</v>
      </c>
      <c r="F11" s="4" t="n">
        <v>385</v>
      </c>
      <c r="G11" s="4" t="n">
        <v>1875</v>
      </c>
      <c r="H11" s="4"/>
      <c r="I11" s="4" t="n">
        <v>1710</v>
      </c>
      <c r="J11" s="3" t="n">
        <f aca="false">IF(OR(G11="",I11=""),"",G11-I11)</f>
        <v>165</v>
      </c>
      <c r="K11" s="5"/>
      <c r="L11" s="4" t="s">
        <v>13</v>
      </c>
      <c r="M11" s="3" t="n">
        <f aca="false">IF(AND(L11="No",I11&lt;&gt;""),1,0)</f>
        <v>1</v>
      </c>
    </row>
    <row r="12" customFormat="false" ht="15" hidden="false" customHeight="false" outlineLevel="0" collapsed="false">
      <c r="A12" s="2" t="n">
        <v>46191</v>
      </c>
      <c r="B12" s="3" t="str">
        <f aca="false">TEXT(A12,"ddd")</f>
        <v>Thu</v>
      </c>
      <c r="C12" s="4" t="n">
        <v>90</v>
      </c>
      <c r="D12" s="4" t="n">
        <v>450</v>
      </c>
      <c r="E12" s="4" t="n">
        <v>410</v>
      </c>
      <c r="F12" s="4" t="n">
        <v>480</v>
      </c>
      <c r="G12" s="4" t="n">
        <v>1430</v>
      </c>
      <c r="H12" s="4"/>
      <c r="I12" s="4" t="n">
        <v>1510</v>
      </c>
      <c r="J12" s="3" t="n">
        <f aca="false">IF(OR(G12="",I12=""),"",G12-I12)</f>
        <v>-80</v>
      </c>
      <c r="K12" s="5"/>
      <c r="L12" s="4" t="s">
        <v>13</v>
      </c>
      <c r="M12" s="3" t="n">
        <f aca="false">IF(AND(L12="No",I12&lt;&gt;""),1,0)</f>
        <v>1</v>
      </c>
    </row>
    <row r="13" customFormat="false" ht="15" hidden="false" customHeight="false" outlineLevel="0" collapsed="false">
      <c r="A13" s="2" t="n">
        <v>46192</v>
      </c>
      <c r="B13" s="3" t="str">
        <f aca="false">TEXT(A13,"ddd")</f>
        <v>Fri</v>
      </c>
      <c r="C13" s="4" t="n">
        <v>320</v>
      </c>
      <c r="D13" s="4" t="n">
        <v>500</v>
      </c>
      <c r="E13" s="4" t="n">
        <v>300</v>
      </c>
      <c r="F13" s="4" t="n">
        <v>430</v>
      </c>
      <c r="G13" s="4" t="n">
        <v>1550</v>
      </c>
      <c r="H13" s="4"/>
      <c r="I13" s="4" t="n">
        <v>1442</v>
      </c>
      <c r="J13" s="3" t="n">
        <f aca="false">IF(OR(G13="",I13=""),"",G13-I13)</f>
        <v>108</v>
      </c>
      <c r="K13" s="5"/>
      <c r="L13" s="4" t="s">
        <v>13</v>
      </c>
      <c r="M13" s="3" t="n">
        <f aca="false">IF(AND(L13="No",I13&lt;&gt;""),1,0)</f>
        <v>1</v>
      </c>
    </row>
    <row r="14" customFormat="false" ht="15" hidden="false" customHeight="false" outlineLevel="0" collapsed="false">
      <c r="A14" s="2" t="n">
        <v>46193</v>
      </c>
      <c r="B14" s="3" t="str">
        <f aca="false">TEXT(A14,"ddd")</f>
        <v>Sat</v>
      </c>
      <c r="C14" s="4" t="n">
        <v>450</v>
      </c>
      <c r="D14" s="4" t="n">
        <v>810</v>
      </c>
      <c r="E14" s="4" t="n">
        <v>0</v>
      </c>
      <c r="F14" s="4" t="n">
        <v>140</v>
      </c>
      <c r="G14" s="4" t="n">
        <v>1400</v>
      </c>
      <c r="H14" s="4"/>
      <c r="I14" s="4" t="n">
        <v>1840</v>
      </c>
      <c r="J14" s="3" t="n">
        <f aca="false">IF(OR(G14="",I14=""),"",G14-I14)</f>
        <v>-440</v>
      </c>
      <c r="K14" s="5"/>
      <c r="L14" s="4" t="s">
        <v>13</v>
      </c>
      <c r="M14" s="3" t="n">
        <f aca="false">IF(AND(L14="No",I14&lt;&gt;""),1,0)</f>
        <v>1</v>
      </c>
    </row>
    <row r="15" customFormat="false" ht="15" hidden="false" customHeight="false" outlineLevel="0" collapsed="false">
      <c r="A15" s="2" t="n">
        <v>46194</v>
      </c>
      <c r="B15" s="3" t="str">
        <f aca="false">TEXT(A15,"ddd")</f>
        <v>Sun</v>
      </c>
      <c r="C15" s="4" t="n">
        <v>750</v>
      </c>
      <c r="D15" s="4" t="n">
        <v>250</v>
      </c>
      <c r="E15" s="4" t="n">
        <v>520</v>
      </c>
      <c r="F15" s="4" t="n">
        <v>160</v>
      </c>
      <c r="G15" s="4" t="n">
        <v>1680</v>
      </c>
      <c r="H15" s="4"/>
      <c r="I15" s="4" t="n">
        <v>1830</v>
      </c>
      <c r="J15" s="3" t="n">
        <f aca="false">IF(OR(G15="",I15=""),"",G15-I15)</f>
        <v>-150</v>
      </c>
      <c r="K15" s="5"/>
      <c r="L15" s="4" t="s">
        <v>13</v>
      </c>
      <c r="M15" s="3" t="n">
        <f aca="false">IF(AND(L15="No",I15&lt;&gt;""),1,0)</f>
        <v>1</v>
      </c>
    </row>
    <row r="16" customFormat="false" ht="15" hidden="false" customHeight="false" outlineLevel="0" collapsed="false">
      <c r="A16" s="2" t="n">
        <v>46195</v>
      </c>
      <c r="B16" s="3" t="str">
        <f aca="false">TEXT(A16,"ddd")</f>
        <v>Mon</v>
      </c>
      <c r="C16" s="4" t="n">
        <v>290</v>
      </c>
      <c r="D16" s="4" t="n">
        <v>650</v>
      </c>
      <c r="E16" s="4" t="n">
        <v>350</v>
      </c>
      <c r="F16" s="4" t="n">
        <v>480</v>
      </c>
      <c r="G16" s="4" t="n">
        <v>1970</v>
      </c>
      <c r="H16" s="4"/>
      <c r="I16" s="4" t="n">
        <v>1716</v>
      </c>
      <c r="J16" s="3" t="n">
        <f aca="false">IF(OR(G16="",I16=""),"",G16-I16)</f>
        <v>254</v>
      </c>
      <c r="K16" s="5" t="n">
        <v>70.5</v>
      </c>
      <c r="L16" s="4" t="s">
        <v>13</v>
      </c>
      <c r="M16" s="3" t="n">
        <f aca="false">IF(AND(L16="No",I16&lt;&gt;""),1,0)</f>
        <v>1</v>
      </c>
    </row>
    <row r="17" customFormat="false" ht="15" hidden="false" customHeight="false" outlineLevel="0" collapsed="false">
      <c r="A17" s="2" t="n">
        <v>46196</v>
      </c>
      <c r="B17" s="3" t="str">
        <f aca="false">TEXT(A17,"ddd")</f>
        <v>Tue</v>
      </c>
      <c r="C17" s="4" t="n">
        <v>420</v>
      </c>
      <c r="D17" s="4" t="n">
        <v>600</v>
      </c>
      <c r="E17" s="4" t="n">
        <v>270</v>
      </c>
      <c r="F17" s="4" t="n">
        <v>300</v>
      </c>
      <c r="G17" s="4" t="n">
        <v>1590</v>
      </c>
      <c r="H17" s="4"/>
      <c r="I17" s="4" t="n">
        <v>1708</v>
      </c>
      <c r="J17" s="3" t="n">
        <f aca="false">IF(OR(G17="",I17=""),"",G17-I17)</f>
        <v>-118</v>
      </c>
      <c r="K17" s="5"/>
      <c r="L17" s="4" t="s">
        <v>13</v>
      </c>
      <c r="M17" s="3" t="n">
        <f aca="false">IF(AND(L17="No",I17&lt;&gt;""),1,0)</f>
        <v>1</v>
      </c>
    </row>
    <row r="18" customFormat="false" ht="15" hidden="false" customHeight="false" outlineLevel="0" collapsed="false">
      <c r="A18" s="2" t="n">
        <v>46197</v>
      </c>
      <c r="B18" s="3" t="str">
        <f aca="false">TEXT(A18,"ddd")</f>
        <v>Wed</v>
      </c>
      <c r="C18" s="4" t="n">
        <v>400</v>
      </c>
      <c r="D18" s="4" t="n">
        <v>320</v>
      </c>
      <c r="E18" s="4" t="n">
        <v>720</v>
      </c>
      <c r="F18" s="4" t="n">
        <v>260</v>
      </c>
      <c r="G18" s="4" t="n">
        <v>1700</v>
      </c>
      <c r="H18" s="4"/>
      <c r="I18" s="4" t="n">
        <v>1618</v>
      </c>
      <c r="J18" s="3" t="n">
        <f aca="false">IF(OR(G18="",I18=""),"",G18-I18)</f>
        <v>82</v>
      </c>
      <c r="K18" s="5"/>
      <c r="L18" s="4" t="s">
        <v>13</v>
      </c>
      <c r="M18" s="3" t="n">
        <f aca="false">IF(AND(L18="No",I18&lt;&gt;""),1,0)</f>
        <v>1</v>
      </c>
    </row>
    <row r="19" customFormat="false" ht="15" hidden="false" customHeight="false" outlineLevel="0" collapsed="false">
      <c r="A19" s="2" t="n">
        <v>46198</v>
      </c>
      <c r="B19" s="3" t="str">
        <f aca="false">TEXT(A19,"ddd")</f>
        <v>Thu</v>
      </c>
      <c r="C19" s="4" t="n">
        <v>230</v>
      </c>
      <c r="D19" s="4" t="n">
        <v>540</v>
      </c>
      <c r="E19" s="4" t="n">
        <v>840</v>
      </c>
      <c r="F19" s="4" t="n">
        <v>90</v>
      </c>
      <c r="G19" s="4" t="n">
        <v>1700</v>
      </c>
      <c r="H19" s="4"/>
      <c r="I19" s="4" t="n">
        <v>1774</v>
      </c>
      <c r="J19" s="3" t="n">
        <f aca="false">IF(OR(G19="",I19=""),"",G19-I19)</f>
        <v>-74</v>
      </c>
      <c r="K19" s="5"/>
      <c r="L19" s="4" t="s">
        <v>13</v>
      </c>
      <c r="M19" s="3" t="n">
        <f aca="false">IF(AND(L19="No",I19&lt;&gt;""),1,0)</f>
        <v>1</v>
      </c>
    </row>
    <row r="20" customFormat="false" ht="15" hidden="false" customHeight="false" outlineLevel="0" collapsed="false">
      <c r="A20" s="6" t="n">
        <v>46199</v>
      </c>
      <c r="B20" s="7" t="str">
        <f aca="false">TEXT(A20,"ddd")</f>
        <v>Fri</v>
      </c>
      <c r="C20" s="8" t="n">
        <v>380</v>
      </c>
      <c r="D20" s="8" t="n">
        <v>680</v>
      </c>
      <c r="E20" s="8" t="n">
        <v>640</v>
      </c>
      <c r="F20" s="8" t="n">
        <v>780</v>
      </c>
      <c r="G20" s="8" t="n">
        <v>2680</v>
      </c>
      <c r="H20" s="8"/>
      <c r="I20" s="8" t="n">
        <v>1800</v>
      </c>
      <c r="J20" s="7" t="n">
        <f aca="false">IF(OR(G20="",I20=""),"",G20-I20)</f>
        <v>880</v>
      </c>
      <c r="K20" s="9"/>
      <c r="L20" s="8" t="s">
        <v>14</v>
      </c>
      <c r="M20" s="7" t="n">
        <f aca="false">IF(AND(L20="No",I20&lt;&gt;""),1,0)</f>
        <v>0</v>
      </c>
    </row>
    <row r="21" customFormat="false" ht="15" hidden="false" customHeight="false" outlineLevel="0" collapsed="false">
      <c r="A21" s="6" t="n">
        <v>46200</v>
      </c>
      <c r="B21" s="7" t="str">
        <f aca="false">TEXT(A21,"ddd")</f>
        <v>Sat</v>
      </c>
      <c r="C21" s="8" t="n">
        <v>800</v>
      </c>
      <c r="D21" s="8" t="n">
        <v>410</v>
      </c>
      <c r="E21" s="8" t="n">
        <v>700</v>
      </c>
      <c r="F21" s="8" t="n">
        <v>1210</v>
      </c>
      <c r="G21" s="8" t="n">
        <v>3120</v>
      </c>
      <c r="H21" s="8"/>
      <c r="I21" s="8" t="n">
        <v>2085</v>
      </c>
      <c r="J21" s="7" t="n">
        <f aca="false">IF(OR(G21="",I21=""),"",G21-I21)</f>
        <v>1035</v>
      </c>
      <c r="K21" s="9"/>
      <c r="L21" s="8" t="s">
        <v>14</v>
      </c>
      <c r="M21" s="7" t="n">
        <f aca="false">IF(AND(L21="No",I21&lt;&gt;""),1,0)</f>
        <v>0</v>
      </c>
    </row>
    <row r="22" customFormat="false" ht="15" hidden="false" customHeight="false" outlineLevel="0" collapsed="false">
      <c r="A22" s="6" t="n">
        <v>46201</v>
      </c>
      <c r="B22" s="7" t="str">
        <f aca="false">TEXT(A22,"ddd")</f>
        <v>Sun</v>
      </c>
      <c r="C22" s="8" t="n">
        <v>960</v>
      </c>
      <c r="D22" s="8" t="n">
        <v>790</v>
      </c>
      <c r="E22" s="8" t="n">
        <v>700</v>
      </c>
      <c r="F22" s="8" t="n">
        <v>130</v>
      </c>
      <c r="G22" s="8" t="n">
        <v>2530</v>
      </c>
      <c r="H22" s="8"/>
      <c r="I22" s="8" t="n">
        <v>1596</v>
      </c>
      <c r="J22" s="7" t="n">
        <f aca="false">IF(OR(G22="",I22=""),"",G22-I22)</f>
        <v>934</v>
      </c>
      <c r="K22" s="9"/>
      <c r="L22" s="8" t="s">
        <v>14</v>
      </c>
      <c r="M22" s="7" t="n">
        <f aca="false">IF(AND(L22="No",I22&lt;&gt;""),1,0)</f>
        <v>0</v>
      </c>
    </row>
    <row r="23" customFormat="false" ht="15" hidden="false" customHeight="false" outlineLevel="0" collapsed="false">
      <c r="A23" s="2" t="n">
        <v>46202</v>
      </c>
      <c r="B23" s="3" t="str">
        <f aca="false">TEXT(A23,"ddd")</f>
        <v>Mon</v>
      </c>
      <c r="C23" s="4" t="n">
        <v>110</v>
      </c>
      <c r="D23" s="4" t="n">
        <v>650</v>
      </c>
      <c r="E23" s="4" t="n">
        <v>420</v>
      </c>
      <c r="F23" s="4" t="n">
        <v>570</v>
      </c>
      <c r="G23" s="4" t="n">
        <v>1750</v>
      </c>
      <c r="H23" s="4"/>
      <c r="I23" s="4" t="n">
        <v>1666</v>
      </c>
      <c r="J23" s="3" t="n">
        <f aca="false">IF(OR(G23="",I23=""),"",G23-I23)</f>
        <v>84</v>
      </c>
      <c r="K23" s="5" t="n">
        <v>71.6</v>
      </c>
      <c r="L23" s="4" t="s">
        <v>13</v>
      </c>
      <c r="M23" s="3" t="n">
        <f aca="false">IF(AND(L23="No",I23&lt;&gt;""),1,0)</f>
        <v>1</v>
      </c>
    </row>
    <row r="24" customFormat="false" ht="15" hidden="false" customHeight="false" outlineLevel="0" collapsed="false">
      <c r="A24" s="2" t="n">
        <v>46203</v>
      </c>
      <c r="B24" s="3" t="str">
        <f aca="false">TEXT(A24,"ddd")</f>
        <v>Tue</v>
      </c>
      <c r="C24" s="4" t="n">
        <v>180</v>
      </c>
      <c r="D24" s="4" t="n">
        <v>530</v>
      </c>
      <c r="E24" s="4" t="n">
        <v>650</v>
      </c>
      <c r="F24" s="4" t="n">
        <v>100</v>
      </c>
      <c r="G24" s="4" t="n">
        <v>1540</v>
      </c>
      <c r="H24" s="4"/>
      <c r="I24" s="4" t="n">
        <v>1887</v>
      </c>
      <c r="J24" s="3" t="n">
        <f aca="false">IF(OR(G24="",I24=""),"",G24-I24)</f>
        <v>-347</v>
      </c>
      <c r="K24" s="5"/>
      <c r="L24" s="4" t="s">
        <v>13</v>
      </c>
      <c r="M24" s="3" t="n">
        <f aca="false">IF(AND(L24="No",I24&lt;&gt;""),1,0)</f>
        <v>1</v>
      </c>
    </row>
    <row r="25" customFormat="false" ht="15" hidden="false" customHeight="false" outlineLevel="0" collapsed="false">
      <c r="A25" s="2" t="n">
        <v>46204</v>
      </c>
      <c r="B25" s="3" t="str">
        <f aca="false">TEXT(A25,"ddd")</f>
        <v>Wed</v>
      </c>
      <c r="C25" s="4" t="n">
        <v>430</v>
      </c>
      <c r="D25" s="4" t="n">
        <v>470</v>
      </c>
      <c r="E25" s="4" t="n">
        <v>680</v>
      </c>
      <c r="F25" s="4" t="n">
        <v>240</v>
      </c>
      <c r="G25" s="4" t="n">
        <v>1820</v>
      </c>
      <c r="H25" s="4"/>
      <c r="I25" s="4" t="n">
        <v>1046</v>
      </c>
      <c r="J25" s="3" t="n">
        <f aca="false">IF(OR(G25="",I25=""),"",G25-I25)</f>
        <v>774</v>
      </c>
      <c r="K25" s="5"/>
      <c r="L25" s="4" t="s">
        <v>13</v>
      </c>
      <c r="M25" s="3" t="n">
        <f aca="false">IF(AND(L25="No",I25&lt;&gt;""),1,0)</f>
        <v>1</v>
      </c>
    </row>
    <row r="26" customFormat="false" ht="15" hidden="false" customHeight="false" outlineLevel="0" collapsed="false">
      <c r="A26" s="2" t="n">
        <v>46205</v>
      </c>
      <c r="B26" s="3" t="str">
        <f aca="false">TEXT(A26,"ddd")</f>
        <v>Thu</v>
      </c>
      <c r="C26" s="4" t="n">
        <v>180</v>
      </c>
      <c r="D26" s="4" t="n">
        <v>520</v>
      </c>
      <c r="E26" s="4" t="n">
        <v>900</v>
      </c>
      <c r="F26" s="4" t="n">
        <v>270</v>
      </c>
      <c r="G26" s="4" t="n">
        <v>1870</v>
      </c>
      <c r="H26" s="4"/>
      <c r="I26" s="4" t="n">
        <v>1795</v>
      </c>
      <c r="J26" s="3" t="n">
        <f aca="false">IF(OR(G26="",I26=""),"",G26-I26)</f>
        <v>75</v>
      </c>
      <c r="K26" s="5"/>
      <c r="L26" s="4" t="s">
        <v>13</v>
      </c>
      <c r="M26" s="3" t="n">
        <f aca="false">IF(AND(L26="No",I26&lt;&gt;""),1,0)</f>
        <v>1</v>
      </c>
    </row>
    <row r="27" customFormat="false" ht="15" hidden="false" customHeight="false" outlineLevel="0" collapsed="false">
      <c r="A27" s="2" t="n">
        <v>46206</v>
      </c>
      <c r="B27" s="3" t="str">
        <f aca="false">TEXT(A27,"ddd")</f>
        <v>Fri</v>
      </c>
      <c r="C27" s="4" t="n">
        <v>725</v>
      </c>
      <c r="D27" s="4" t="n">
        <v>650</v>
      </c>
      <c r="E27" s="4" t="n">
        <v>650</v>
      </c>
      <c r="F27" s="4" t="n">
        <v>25</v>
      </c>
      <c r="G27" s="4" t="n">
        <v>2050</v>
      </c>
      <c r="H27" s="4"/>
      <c r="I27" s="4" t="n">
        <v>1657</v>
      </c>
      <c r="J27" s="3" t="n">
        <f aca="false">IF(OR(G27="",I27=""),"",G27-I27)</f>
        <v>393</v>
      </c>
      <c r="K27" s="5"/>
      <c r="L27" s="4" t="s">
        <v>13</v>
      </c>
      <c r="M27" s="3" t="n">
        <f aca="false">IF(AND(L27="No",I27&lt;&gt;""),1,0)</f>
        <v>1</v>
      </c>
    </row>
    <row r="28" customFormat="false" ht="15" hidden="false" customHeight="false" outlineLevel="0" collapsed="false">
      <c r="A28" s="2" t="n">
        <v>46207</v>
      </c>
      <c r="B28" s="3" t="str">
        <f aca="false">TEXT(A28,"ddd")</f>
        <v>Sat</v>
      </c>
      <c r="C28" s="4" t="n">
        <v>400</v>
      </c>
      <c r="D28" s="4" t="n">
        <v>500</v>
      </c>
      <c r="E28" s="4" t="n">
        <v>560</v>
      </c>
      <c r="F28" s="4" t="n">
        <v>580</v>
      </c>
      <c r="G28" s="4" t="n">
        <v>2040</v>
      </c>
      <c r="H28" s="4"/>
      <c r="I28" s="4" t="n">
        <v>1761</v>
      </c>
      <c r="J28" s="3" t="n">
        <f aca="false">IF(OR(G28="",I28=""),"",G28-I28)</f>
        <v>279</v>
      </c>
      <c r="K28" s="5"/>
      <c r="L28" s="4" t="s">
        <v>13</v>
      </c>
      <c r="M28" s="3" t="n">
        <f aca="false">IF(AND(L28="No",I28&lt;&gt;""),1,0)</f>
        <v>1</v>
      </c>
    </row>
    <row r="29" customFormat="false" ht="15" hidden="false" customHeight="false" outlineLevel="0" collapsed="false">
      <c r="A29" s="2" t="n">
        <v>46208</v>
      </c>
      <c r="B29" s="3" t="str">
        <f aca="false">TEXT(A29,"ddd")</f>
        <v>Sun</v>
      </c>
      <c r="C29" s="4" t="n">
        <v>240</v>
      </c>
      <c r="D29" s="4" t="n">
        <v>510</v>
      </c>
      <c r="E29" s="4" t="n">
        <v>845</v>
      </c>
      <c r="F29" s="4" t="n">
        <v>120</v>
      </c>
      <c r="G29" s="4" t="n">
        <v>1715</v>
      </c>
      <c r="H29" s="4"/>
      <c r="I29" s="4" t="n">
        <v>2099</v>
      </c>
      <c r="J29" s="3" t="n">
        <f aca="false">IF(OR(G29="",I29=""),"",G29-I29)</f>
        <v>-384</v>
      </c>
      <c r="K29" s="5"/>
      <c r="L29" s="4" t="s">
        <v>13</v>
      </c>
      <c r="M29" s="3" t="n">
        <f aca="false">IF(AND(L29="No",I29&lt;&gt;""),1,0)</f>
        <v>1</v>
      </c>
    </row>
    <row r="30" customFormat="false" ht="15" hidden="false" customHeight="false" outlineLevel="0" collapsed="false">
      <c r="A30" s="2" t="n">
        <v>46209</v>
      </c>
      <c r="B30" s="3" t="str">
        <f aca="false">TEXT(A30,"ddd")</f>
        <v>Mon</v>
      </c>
      <c r="C30" s="4" t="n">
        <v>370</v>
      </c>
      <c r="D30" s="4" t="n">
        <v>600</v>
      </c>
      <c r="E30" s="4" t="n">
        <v>430</v>
      </c>
      <c r="F30" s="4" t="n">
        <v>120</v>
      </c>
      <c r="G30" s="4" t="n">
        <v>1520</v>
      </c>
      <c r="H30" s="4"/>
      <c r="I30" s="4" t="n">
        <v>1563</v>
      </c>
      <c r="J30" s="3" t="n">
        <f aca="false">IF(OR(G30="",I30=""),"",G30-I30)</f>
        <v>-43</v>
      </c>
      <c r="K30" s="5" t="n">
        <v>70.65</v>
      </c>
      <c r="L30" s="4" t="s">
        <v>13</v>
      </c>
      <c r="M30" s="3" t="n">
        <f aca="false">IF(AND(L30="No",I30&lt;&gt;""),1,0)</f>
        <v>1</v>
      </c>
    </row>
    <row r="31" customFormat="false" ht="15" hidden="false" customHeight="false" outlineLevel="0" collapsed="false">
      <c r="A31" s="2" t="n">
        <v>46210</v>
      </c>
      <c r="B31" s="3" t="str">
        <f aca="false">TEXT(A31,"ddd")</f>
        <v>Tue</v>
      </c>
      <c r="C31" s="4" t="n">
        <v>300</v>
      </c>
      <c r="D31" s="4" t="n">
        <v>600</v>
      </c>
      <c r="E31" s="4" t="n">
        <v>600</v>
      </c>
      <c r="F31" s="4" t="n">
        <v>620</v>
      </c>
      <c r="G31" s="4" t="n">
        <v>2120</v>
      </c>
      <c r="H31" s="4"/>
      <c r="I31" s="4" t="n">
        <v>1689</v>
      </c>
      <c r="J31" s="3" t="n">
        <f aca="false">IF(OR(G31="",I31=""),"",G31-I31)</f>
        <v>431</v>
      </c>
      <c r="K31" s="5"/>
      <c r="L31" s="4" t="s">
        <v>13</v>
      </c>
      <c r="M31" s="3" t="n">
        <f aca="false">IF(AND(L31="No",I31&lt;&gt;""),1,0)</f>
        <v>1</v>
      </c>
    </row>
    <row r="32" customFormat="false" ht="15" hidden="false" customHeight="false" outlineLevel="0" collapsed="false">
      <c r="A32" s="2" t="n">
        <v>46211</v>
      </c>
      <c r="B32" s="3" t="str">
        <f aca="false">TEXT(A32,"ddd")</f>
        <v>Wed</v>
      </c>
      <c r="C32" s="4" t="n">
        <v>310</v>
      </c>
      <c r="D32" s="4" t="n">
        <v>410</v>
      </c>
      <c r="E32" s="4" t="n">
        <v>570</v>
      </c>
      <c r="F32" s="4" t="n">
        <v>500</v>
      </c>
      <c r="G32" s="4" t="n">
        <v>1790</v>
      </c>
      <c r="H32" s="4"/>
      <c r="I32" s="4" t="n">
        <v>1839</v>
      </c>
      <c r="J32" s="3" t="n">
        <f aca="false">IF(OR(G32="",I32=""),"",G32-I32)</f>
        <v>-49</v>
      </c>
      <c r="K32" s="5"/>
      <c r="L32" s="4" t="s">
        <v>13</v>
      </c>
      <c r="M32" s="3" t="n">
        <f aca="false">IF(AND(L32="No",I32&lt;&gt;""),1,0)</f>
        <v>1</v>
      </c>
    </row>
    <row r="33" customFormat="false" ht="15" hidden="false" customHeight="false" outlineLevel="0" collapsed="false">
      <c r="A33" s="2" t="n">
        <v>46212</v>
      </c>
      <c r="B33" s="3" t="str">
        <f aca="false">TEXT(A33,"ddd")</f>
        <v>Thu</v>
      </c>
      <c r="C33" s="4" t="n">
        <v>240</v>
      </c>
      <c r="D33" s="4" t="n">
        <v>700</v>
      </c>
      <c r="E33" s="4" t="n">
        <v>350</v>
      </c>
      <c r="F33" s="4" t="n">
        <v>695</v>
      </c>
      <c r="G33" s="4" t="n">
        <v>1965</v>
      </c>
      <c r="H33" s="4"/>
      <c r="I33" s="4" t="n">
        <v>1844</v>
      </c>
      <c r="J33" s="3" t="n">
        <f aca="false">IF(OR(G33="",I33=""),"",G33-I33)</f>
        <v>121</v>
      </c>
      <c r="K33" s="5"/>
      <c r="L33" s="4" t="s">
        <v>13</v>
      </c>
      <c r="M33" s="3" t="n">
        <f aca="false">IF(AND(L33="No",I33&lt;&gt;""),1,0)</f>
        <v>1</v>
      </c>
    </row>
    <row r="34" customFormat="false" ht="15" hidden="false" customHeight="false" outlineLevel="0" collapsed="false">
      <c r="A34" s="2" t="n">
        <v>46213</v>
      </c>
      <c r="B34" s="3" t="str">
        <f aca="false">TEXT(A34,"ddd")</f>
        <v>Fri</v>
      </c>
      <c r="C34" s="4" t="n">
        <v>330</v>
      </c>
      <c r="D34" s="4" t="n">
        <v>600</v>
      </c>
      <c r="E34" s="4" t="n">
        <v>620</v>
      </c>
      <c r="F34" s="4" t="n">
        <v>60</v>
      </c>
      <c r="G34" s="4" t="n">
        <v>1610</v>
      </c>
      <c r="H34" s="4"/>
      <c r="I34" s="4" t="n">
        <v>1494</v>
      </c>
      <c r="J34" s="3" t="n">
        <f aca="false">IF(OR(G34="",I34=""),"",G34-I34)</f>
        <v>116</v>
      </c>
      <c r="K34" s="5"/>
      <c r="L34" s="4" t="s">
        <v>13</v>
      </c>
      <c r="M34" s="3" t="n">
        <f aca="false">IF(AND(L34="No",I34&lt;&gt;""),1,0)</f>
        <v>1</v>
      </c>
    </row>
    <row r="35" customFormat="false" ht="15" hidden="false" customHeight="false" outlineLevel="0" collapsed="false">
      <c r="A35" s="2" t="n">
        <v>46214</v>
      </c>
      <c r="B35" s="3" t="str">
        <f aca="false">TEXT(A35,"ddd")</f>
        <v>Sat</v>
      </c>
      <c r="C35" s="4" t="n">
        <v>350</v>
      </c>
      <c r="D35" s="4" t="n">
        <v>450</v>
      </c>
      <c r="E35" s="4" t="n">
        <v>600</v>
      </c>
      <c r="F35" s="4" t="n">
        <v>0</v>
      </c>
      <c r="G35" s="4" t="n">
        <v>1400</v>
      </c>
      <c r="H35" s="4"/>
      <c r="I35" s="4" t="n">
        <v>1585</v>
      </c>
      <c r="J35" s="3" t="n">
        <f aca="false">IF(OR(G35="",I35=""),"",G35-I35)</f>
        <v>-185</v>
      </c>
      <c r="K35" s="5"/>
      <c r="L35" s="4" t="s">
        <v>13</v>
      </c>
      <c r="M35" s="3" t="n">
        <f aca="false">IF(AND(L35="No",I35&lt;&gt;""),1,0)</f>
        <v>1</v>
      </c>
    </row>
    <row r="36" customFormat="false" ht="15" hidden="false" customHeight="false" outlineLevel="0" collapsed="false">
      <c r="A36" s="2" t="n">
        <v>46215</v>
      </c>
      <c r="B36" s="3" t="str">
        <f aca="false">TEXT(A36,"ddd")</f>
        <v>Sun</v>
      </c>
      <c r="C36" s="4" t="n">
        <v>490</v>
      </c>
      <c r="D36" s="4" t="n">
        <v>0</v>
      </c>
      <c r="E36" s="4" t="n">
        <v>850</v>
      </c>
      <c r="F36" s="4" t="n">
        <v>300</v>
      </c>
      <c r="G36" s="4" t="n">
        <v>1640</v>
      </c>
      <c r="H36" s="4"/>
      <c r="I36" s="4" t="n">
        <v>1700</v>
      </c>
      <c r="J36" s="3" t="n">
        <f aca="false">IF(OR(G36="",I36=""),"",G36-I36)</f>
        <v>-60</v>
      </c>
      <c r="K36" s="5"/>
      <c r="L36" s="4" t="s">
        <v>13</v>
      </c>
      <c r="M36" s="3" t="n">
        <f aca="false">IF(AND(L36="No",I36&lt;&gt;""),1,0)</f>
        <v>1</v>
      </c>
    </row>
    <row r="37" customFormat="false" ht="15" hidden="false" customHeight="false" outlineLevel="0" collapsed="false">
      <c r="A37" s="2" t="n">
        <v>46216</v>
      </c>
      <c r="B37" s="3" t="str">
        <f aca="false">TEXT(A37,"ddd")</f>
        <v>Mon</v>
      </c>
      <c r="C37" s="4" t="n">
        <v>390</v>
      </c>
      <c r="D37" s="4" t="n">
        <v>600</v>
      </c>
      <c r="E37" s="4" t="n">
        <v>730</v>
      </c>
      <c r="F37" s="4" t="n">
        <v>650</v>
      </c>
      <c r="G37" s="4" t="n">
        <v>2370</v>
      </c>
      <c r="H37" s="4"/>
      <c r="I37" s="4" t="n">
        <v>1846</v>
      </c>
      <c r="J37" s="3" t="n">
        <f aca="false">IF(OR(G37="",I37=""),"",G37-I37)</f>
        <v>524</v>
      </c>
      <c r="K37" s="5" t="n">
        <v>70.9</v>
      </c>
      <c r="L37" s="4" t="s">
        <v>13</v>
      </c>
      <c r="M37" s="3" t="n">
        <f aca="false">IF(AND(L37="No",I37&lt;&gt;""),1,0)</f>
        <v>1</v>
      </c>
    </row>
    <row r="38" customFormat="false" ht="15" hidden="false" customHeight="false" outlineLevel="0" collapsed="false">
      <c r="A38" s="2" t="n">
        <v>46217</v>
      </c>
      <c r="B38" s="3" t="str">
        <f aca="false">TEXT(A38,"ddd")</f>
        <v>Tue</v>
      </c>
      <c r="C38" s="4" t="n">
        <v>250</v>
      </c>
      <c r="D38" s="4" t="n">
        <v>500</v>
      </c>
      <c r="E38" s="4" t="n">
        <v>450</v>
      </c>
      <c r="F38" s="4" t="n">
        <v>450</v>
      </c>
      <c r="G38" s="4" t="n">
        <v>1650</v>
      </c>
      <c r="H38" s="4"/>
      <c r="I38" s="4" t="n">
        <v>1645</v>
      </c>
      <c r="J38" s="3" t="n">
        <f aca="false">IF(OR(G38="",I38=""),"",G38-I38)</f>
        <v>5</v>
      </c>
      <c r="K38" s="5"/>
      <c r="L38" s="4" t="s">
        <v>13</v>
      </c>
      <c r="M38" s="3" t="n">
        <f aca="false">IF(AND(L38="No",I38&lt;&gt;""),1,0)</f>
        <v>1</v>
      </c>
    </row>
    <row r="39" customFormat="false" ht="15" hidden="false" customHeight="false" outlineLevel="0" collapsed="false">
      <c r="A39" s="2" t="n">
        <v>46218</v>
      </c>
      <c r="B39" s="3" t="str">
        <f aca="false">TEXT(A39,"ddd")</f>
        <v>Wed</v>
      </c>
      <c r="C39" s="4" t="n">
        <v>490</v>
      </c>
      <c r="D39" s="4" t="n">
        <v>450</v>
      </c>
      <c r="E39" s="4" t="n">
        <v>600</v>
      </c>
      <c r="F39" s="4" t="n">
        <v>330</v>
      </c>
      <c r="G39" s="4" t="n">
        <v>1870</v>
      </c>
      <c r="H39" s="4"/>
      <c r="I39" s="4" t="n">
        <v>1379</v>
      </c>
      <c r="J39" s="3" t="n">
        <f aca="false">IF(OR(G39="",I39=""),"",G39-I39)</f>
        <v>491</v>
      </c>
      <c r="K39" s="5"/>
      <c r="L39" s="4" t="s">
        <v>13</v>
      </c>
      <c r="M39" s="3" t="n">
        <f aca="false">IF(AND(L39="No",I39&lt;&gt;""),1,0)</f>
        <v>1</v>
      </c>
    </row>
    <row r="40" customFormat="false" ht="15" hidden="false" customHeight="false" outlineLevel="0" collapsed="false">
      <c r="A40" s="2" t="n">
        <v>46219</v>
      </c>
      <c r="B40" s="3" t="str">
        <f aca="false">TEXT(A40,"ddd")</f>
        <v>Thu</v>
      </c>
      <c r="C40" s="4" t="n">
        <v>560</v>
      </c>
      <c r="D40" s="4" t="n">
        <v>300</v>
      </c>
      <c r="E40" s="4" t="n">
        <v>700</v>
      </c>
      <c r="F40" s="4" t="n">
        <v>290</v>
      </c>
      <c r="G40" s="4" t="n">
        <v>1850</v>
      </c>
      <c r="H40" s="4"/>
      <c r="I40" s="4" t="n">
        <v>1398</v>
      </c>
      <c r="J40" s="3" t="n">
        <f aca="false">IF(OR(G40="",I40=""),"",G40-I40)</f>
        <v>452</v>
      </c>
      <c r="K40" s="5"/>
      <c r="L40" s="4" t="s">
        <v>13</v>
      </c>
      <c r="M40" s="3" t="n">
        <f aca="false">IF(AND(L40="No",I40&lt;&gt;""),1,0)</f>
        <v>1</v>
      </c>
    </row>
    <row r="41" customFormat="false" ht="15" hidden="false" customHeight="false" outlineLevel="0" collapsed="false">
      <c r="A41" s="2" t="n">
        <v>46220</v>
      </c>
      <c r="B41" s="3" t="str">
        <f aca="false">TEXT(A41,"ddd")</f>
        <v>Fri</v>
      </c>
      <c r="C41" s="4" t="n">
        <v>355</v>
      </c>
      <c r="D41" s="4" t="n">
        <v>700</v>
      </c>
      <c r="E41" s="4" t="n">
        <v>680</v>
      </c>
      <c r="F41" s="4" t="n">
        <v>195</v>
      </c>
      <c r="G41" s="4" t="n">
        <v>2030</v>
      </c>
      <c r="H41" s="4"/>
      <c r="I41" s="4" t="n">
        <v>1759</v>
      </c>
      <c r="J41" s="3" t="n">
        <f aca="false">IF(OR(G41="",I41=""),"",G41-I41)</f>
        <v>271</v>
      </c>
      <c r="K41" s="5"/>
      <c r="L41" s="4" t="s">
        <v>13</v>
      </c>
      <c r="M41" s="3" t="n">
        <f aca="false">IF(AND(L41="No",I41&lt;&gt;""),1,0)</f>
        <v>1</v>
      </c>
    </row>
    <row r="42" customFormat="false" ht="15" hidden="false" customHeight="false" outlineLevel="0" collapsed="false">
      <c r="A42" s="2" t="n">
        <v>46221</v>
      </c>
      <c r="B42" s="3" t="str">
        <f aca="false">TEXT(A42,"ddd")</f>
        <v>Sat</v>
      </c>
      <c r="C42" s="4" t="n">
        <v>220</v>
      </c>
      <c r="D42" s="4" t="n">
        <v>280</v>
      </c>
      <c r="E42" s="4" t="n">
        <v>500</v>
      </c>
      <c r="F42" s="4" t="n">
        <v>230</v>
      </c>
      <c r="G42" s="4" t="n">
        <v>1230</v>
      </c>
      <c r="H42" s="4"/>
      <c r="I42" s="4" t="n">
        <v>1668</v>
      </c>
      <c r="J42" s="3" t="n">
        <f aca="false">IF(OR(G42="",I42=""),"",G42-I42)</f>
        <v>-438</v>
      </c>
      <c r="K42" s="5"/>
      <c r="L42" s="4" t="s">
        <v>13</v>
      </c>
      <c r="M42" s="3" t="n">
        <f aca="false">IF(AND(L42="No",I42&lt;&gt;""),1,0)</f>
        <v>1</v>
      </c>
    </row>
    <row r="43" customFormat="false" ht="15" hidden="false" customHeight="false" outlineLevel="0" collapsed="false">
      <c r="A43" s="2" t="n">
        <v>46222</v>
      </c>
      <c r="B43" s="3" t="str">
        <f aca="false">TEXT(A43,"ddd")</f>
        <v>Sun</v>
      </c>
      <c r="C43" s="4" t="n">
        <v>0</v>
      </c>
      <c r="D43" s="4" t="n">
        <v>700</v>
      </c>
      <c r="E43" s="4" t="n">
        <v>650</v>
      </c>
      <c r="F43" s="4" t="n">
        <v>275</v>
      </c>
      <c r="G43" s="4" t="n">
        <v>1625</v>
      </c>
      <c r="H43" s="4"/>
      <c r="I43" s="4" t="n">
        <v>1793</v>
      </c>
      <c r="J43" s="3" t="n">
        <f aca="false">IF(OR(G43="",I43=""),"",G43-I43)</f>
        <v>-168</v>
      </c>
      <c r="K43" s="5"/>
      <c r="L43" s="4" t="s">
        <v>13</v>
      </c>
      <c r="M43" s="3" t="n">
        <f aca="false">IF(AND(L43="No",I43&lt;&gt;""),1,0)</f>
        <v>1</v>
      </c>
    </row>
    <row r="44" customFormat="false" ht="15" hidden="false" customHeight="false" outlineLevel="0" collapsed="false">
      <c r="A44" s="2" t="n">
        <v>46223</v>
      </c>
      <c r="B44" s="3" t="str">
        <f aca="false">TEXT(A44,"ddd")</f>
        <v>Mon</v>
      </c>
      <c r="C44" s="4" t="n">
        <v>215</v>
      </c>
      <c r="D44" s="4" t="n">
        <v>500</v>
      </c>
      <c r="E44" s="4" t="n">
        <v>570</v>
      </c>
      <c r="F44" s="4" t="n">
        <v>590</v>
      </c>
      <c r="G44" s="4" t="n">
        <v>1875</v>
      </c>
      <c r="H44" s="4"/>
      <c r="I44" s="4" t="n">
        <v>1763</v>
      </c>
      <c r="J44" s="3" t="n">
        <f aca="false">IF(OR(G44="",I44=""),"",G44-I44)</f>
        <v>112</v>
      </c>
      <c r="K44" s="5" t="n">
        <v>70.4</v>
      </c>
      <c r="L44" s="4" t="s">
        <v>13</v>
      </c>
      <c r="M44" s="3" t="n">
        <f aca="false">IF(AND(L44="No",I44&lt;&gt;""),1,0)</f>
        <v>1</v>
      </c>
    </row>
    <row r="45" customFormat="false" ht="15" hidden="false" customHeight="false" outlineLevel="0" collapsed="false">
      <c r="A45" s="2" t="n">
        <v>46224</v>
      </c>
      <c r="B45" s="3" t="str">
        <f aca="false">TEXT(A45,"ddd")</f>
        <v>Tue</v>
      </c>
      <c r="C45" s="4" t="n">
        <v>415</v>
      </c>
      <c r="D45" s="4" t="n">
        <v>400</v>
      </c>
      <c r="E45" s="4" t="n">
        <v>590</v>
      </c>
      <c r="F45" s="4" t="n">
        <v>30</v>
      </c>
      <c r="G45" s="4" t="n">
        <v>1435</v>
      </c>
      <c r="H45" s="4"/>
      <c r="I45" s="4" t="n">
        <v>1816</v>
      </c>
      <c r="J45" s="3" t="n">
        <f aca="false">IF(OR(G45="",I45=""),"",G45-I45)</f>
        <v>-381</v>
      </c>
      <c r="K45" s="5"/>
      <c r="L45" s="4" t="s">
        <v>13</v>
      </c>
      <c r="M45" s="3" t="n">
        <f aca="false">IF(AND(L45="No",I45&lt;&gt;""),1,0)</f>
        <v>1</v>
      </c>
    </row>
    <row r="46" customFormat="false" ht="15" hidden="false" customHeight="false" outlineLevel="0" collapsed="false">
      <c r="A46" s="2" t="n">
        <v>46225</v>
      </c>
      <c r="B46" s="3" t="str">
        <f aca="false">TEXT(A46,"ddd")</f>
        <v>Wed</v>
      </c>
      <c r="C46" s="4" t="n">
        <v>180</v>
      </c>
      <c r="D46" s="4" t="n">
        <v>640</v>
      </c>
      <c r="E46" s="4" t="n">
        <v>660</v>
      </c>
      <c r="F46" s="4" t="n">
        <v>175</v>
      </c>
      <c r="G46" s="4" t="n">
        <v>1655</v>
      </c>
      <c r="H46" s="4"/>
      <c r="I46" s="4" t="n">
        <v>1651</v>
      </c>
      <c r="J46" s="3" t="n">
        <f aca="false">IF(OR(G46="",I46=""),"",G46-I46)</f>
        <v>4</v>
      </c>
      <c r="K46" s="5"/>
      <c r="L46" s="4" t="s">
        <v>13</v>
      </c>
      <c r="M46" s="3" t="n">
        <f aca="false">IF(AND(L46="No",I46&lt;&gt;""),1,0)</f>
        <v>1</v>
      </c>
    </row>
    <row r="47" customFormat="false" ht="15" hidden="false" customHeight="false" outlineLevel="0" collapsed="false">
      <c r="A47" s="2" t="n">
        <v>46226</v>
      </c>
      <c r="B47" s="3" t="str">
        <f aca="false">TEXT(A47,"ddd")</f>
        <v>Thu</v>
      </c>
      <c r="C47" s="4" t="n">
        <v>180</v>
      </c>
      <c r="D47" s="4" t="n">
        <v>430</v>
      </c>
      <c r="E47" s="4" t="n">
        <v>570</v>
      </c>
      <c r="F47" s="4" t="n">
        <v>190</v>
      </c>
      <c r="G47" s="4" t="n">
        <v>1370</v>
      </c>
      <c r="H47" s="4"/>
      <c r="I47" s="4" t="n">
        <v>1772</v>
      </c>
      <c r="J47" s="3" t="n">
        <f aca="false">IF(OR(G47="",I47=""),"",G47-I47)</f>
        <v>-402</v>
      </c>
      <c r="K47" s="5"/>
      <c r="L47" s="4" t="s">
        <v>13</v>
      </c>
      <c r="M47" s="3" t="n">
        <f aca="false">IF(AND(L47="No",I47&lt;&gt;""),1,0)</f>
        <v>1</v>
      </c>
    </row>
    <row r="48" customFormat="false" ht="15" hidden="false" customHeight="false" outlineLevel="0" collapsed="false">
      <c r="A48" s="2" t="n">
        <v>46227</v>
      </c>
      <c r="B48" s="3" t="str">
        <f aca="false">TEXT(A48,"ddd")</f>
        <v>Fri</v>
      </c>
      <c r="C48" s="4" t="n">
        <v>300</v>
      </c>
      <c r="D48" s="4" t="n">
        <v>340</v>
      </c>
      <c r="E48" s="4" t="n">
        <v>890</v>
      </c>
      <c r="F48" s="4" t="n">
        <v>0</v>
      </c>
      <c r="G48" s="4" t="n">
        <v>1530</v>
      </c>
      <c r="H48" s="4"/>
      <c r="I48" s="4" t="n">
        <v>1700</v>
      </c>
      <c r="J48" s="3" t="n">
        <f aca="false">IF(OR(G48="",I48=""),"",G48-I48)</f>
        <v>-170</v>
      </c>
      <c r="K48" s="5"/>
      <c r="L48" s="4" t="s">
        <v>13</v>
      </c>
      <c r="M48" s="3" t="n">
        <f aca="false">IF(AND(L48="No",I48&lt;&gt;""),1,0)</f>
        <v>1</v>
      </c>
    </row>
    <row r="49" customFormat="false" ht="15" hidden="false" customHeight="false" outlineLevel="0" collapsed="false">
      <c r="A49" s="2" t="n">
        <v>46228</v>
      </c>
      <c r="B49" s="3" t="str">
        <f aca="false">TEXT(A49,"ddd")</f>
        <v>Sat</v>
      </c>
      <c r="C49" s="4" t="n">
        <v>420</v>
      </c>
      <c r="D49" s="4" t="n">
        <v>240</v>
      </c>
      <c r="E49" s="4" t="n">
        <v>805</v>
      </c>
      <c r="F49" s="4" t="n">
        <v>375</v>
      </c>
      <c r="G49" s="4" t="n">
        <v>1890</v>
      </c>
      <c r="H49" s="4"/>
      <c r="I49" s="4" t="n">
        <v>1693</v>
      </c>
      <c r="J49" s="3" t="n">
        <f aca="false">IF(OR(G49="",I49=""),"",G49-I49)</f>
        <v>197</v>
      </c>
      <c r="K49" s="5"/>
      <c r="L49" s="4" t="s">
        <v>13</v>
      </c>
      <c r="M49" s="3" t="n">
        <f aca="false">IF(AND(L49="No",I49&lt;&gt;""),1,0)</f>
        <v>1</v>
      </c>
    </row>
    <row r="50" customFormat="false" ht="15" hidden="false" customHeight="false" outlineLevel="0" collapsed="false">
      <c r="A50" s="2" t="n">
        <v>46229</v>
      </c>
      <c r="B50" s="3" t="str">
        <f aca="false">TEXT(A50,"ddd")</f>
        <v>Sun</v>
      </c>
      <c r="C50" s="4" t="n">
        <v>0</v>
      </c>
      <c r="D50" s="4" t="n">
        <v>550</v>
      </c>
      <c r="E50" s="4" t="n">
        <v>975</v>
      </c>
      <c r="F50" s="4" t="n">
        <v>0</v>
      </c>
      <c r="G50" s="4" t="n">
        <v>1525</v>
      </c>
      <c r="H50" s="4"/>
      <c r="I50" s="4" t="n">
        <v>1816</v>
      </c>
      <c r="J50" s="3" t="n">
        <f aca="false">IF(OR(G50="",I50=""),"",G50-I50)</f>
        <v>-291</v>
      </c>
      <c r="K50" s="5"/>
      <c r="L50" s="4" t="s">
        <v>13</v>
      </c>
      <c r="M50" s="3" t="n">
        <f aca="false">IF(AND(L50="No",I50&lt;&gt;""),1,0)</f>
        <v>1</v>
      </c>
    </row>
    <row r="51" customFormat="false" ht="15" hidden="false" customHeight="false" outlineLevel="0" collapsed="false">
      <c r="A51" s="2" t="n">
        <v>46230</v>
      </c>
      <c r="B51" s="3" t="str">
        <f aca="false">TEXT(A51,"ddd")</f>
        <v>Mon</v>
      </c>
      <c r="C51" s="4" t="n">
        <v>180</v>
      </c>
      <c r="D51" s="4" t="n">
        <v>850</v>
      </c>
      <c r="E51" s="4" t="n">
        <v>650</v>
      </c>
      <c r="F51" s="4" t="n">
        <v>380</v>
      </c>
      <c r="G51" s="4" t="n">
        <v>2060</v>
      </c>
      <c r="H51" s="4"/>
      <c r="I51" s="4" t="n">
        <v>1573</v>
      </c>
      <c r="J51" s="3" t="n">
        <f aca="false">IF(OR(G51="",I51=""),"",G51-I51)</f>
        <v>487</v>
      </c>
      <c r="K51" s="5" t="n">
        <v>70.8</v>
      </c>
      <c r="L51" s="4" t="s">
        <v>13</v>
      </c>
      <c r="M51" s="3" t="n">
        <f aca="false">IF(AND(L51="No",I51&lt;&gt;""),1,0)</f>
        <v>1</v>
      </c>
    </row>
    <row r="52" customFormat="false" ht="15" hidden="false" customHeight="false" outlineLevel="0" collapsed="false">
      <c r="A52" s="2" t="n">
        <v>46231</v>
      </c>
      <c r="B52" s="3" t="str">
        <f aca="false">TEXT(A52,"ddd")</f>
        <v>Tue</v>
      </c>
      <c r="C52" s="4" t="n">
        <v>180</v>
      </c>
      <c r="D52" s="4" t="n">
        <v>650</v>
      </c>
      <c r="E52" s="4" t="n">
        <v>1150</v>
      </c>
      <c r="F52" s="4" t="n">
        <v>0</v>
      </c>
      <c r="G52" s="4" t="n">
        <v>1980</v>
      </c>
      <c r="H52" s="4"/>
      <c r="I52" s="4" t="n">
        <v>1848</v>
      </c>
      <c r="J52" s="3" t="n">
        <f aca="false">IF(OR(G52="",I52=""),"",G52-I52)</f>
        <v>132</v>
      </c>
      <c r="K52" s="5"/>
      <c r="L52" s="4" t="s">
        <v>13</v>
      </c>
      <c r="M52" s="3" t="n">
        <f aca="false">IF(AND(L52="No",I52&lt;&gt;""),1,0)</f>
        <v>1</v>
      </c>
    </row>
    <row r="53" customFormat="false" ht="15" hidden="false" customHeight="false" outlineLevel="0" collapsed="false">
      <c r="A53" s="2" t="n">
        <v>46232</v>
      </c>
      <c r="B53" s="3" t="str">
        <f aca="false">TEXT(A53,"ddd")</f>
        <v>Wed</v>
      </c>
      <c r="C53" s="4" t="n">
        <v>0</v>
      </c>
      <c r="D53" s="4" t="n">
        <v>600</v>
      </c>
      <c r="E53" s="4" t="n">
        <v>450</v>
      </c>
      <c r="F53" s="4" t="n">
        <v>650</v>
      </c>
      <c r="G53" s="4" t="n">
        <v>1700</v>
      </c>
      <c r="H53" s="4"/>
      <c r="I53" s="4" t="n">
        <v>1886</v>
      </c>
      <c r="J53" s="3" t="n">
        <f aca="false">IF(OR(G53="",I53=""),"",G53-I53)</f>
        <v>-186</v>
      </c>
      <c r="K53" s="5"/>
      <c r="L53" s="4" t="s">
        <v>13</v>
      </c>
      <c r="M53" s="3" t="n">
        <f aca="false">IF(AND(L53="No",I53&lt;&gt;""),1,0)</f>
        <v>1</v>
      </c>
    </row>
    <row r="54" customFormat="false" ht="15" hidden="false" customHeight="false" outlineLevel="0" collapsed="false">
      <c r="A54" s="2" t="n">
        <v>46233</v>
      </c>
      <c r="B54" s="3" t="str">
        <f aca="false">TEXT(A54,"ddd")</f>
        <v>Thu</v>
      </c>
      <c r="C54" s="4" t="n">
        <v>0</v>
      </c>
      <c r="D54" s="4" t="n">
        <v>350</v>
      </c>
      <c r="E54" s="4" t="n">
        <v>750</v>
      </c>
      <c r="F54" s="4" t="n">
        <v>250</v>
      </c>
      <c r="G54" s="4" t="n">
        <v>1350</v>
      </c>
      <c r="H54" s="4"/>
      <c r="I54" s="4" t="n">
        <v>1750</v>
      </c>
      <c r="J54" s="3" t="n">
        <f aca="false">IF(OR(G54="",I54=""),"",G54-I54)</f>
        <v>-400</v>
      </c>
      <c r="K54" s="5"/>
      <c r="L54" s="4" t="s">
        <v>13</v>
      </c>
      <c r="M54" s="3" t="n">
        <f aca="false">IF(AND(L54="No",I54&lt;&gt;""),1,0)</f>
        <v>1</v>
      </c>
    </row>
    <row r="55" customFormat="false" ht="15" hidden="false" customHeight="false" outlineLevel="0" collapsed="false">
      <c r="A55" s="2" t="n">
        <v>46234</v>
      </c>
      <c r="B55" s="3" t="str">
        <f aca="false">TEXT(A55,"ddd")</f>
        <v>Fri</v>
      </c>
      <c r="C55" s="4" t="n">
        <v>0</v>
      </c>
      <c r="D55" s="4" t="n">
        <v>700</v>
      </c>
      <c r="E55" s="4" t="n">
        <v>300</v>
      </c>
      <c r="F55" s="4" t="n">
        <v>700</v>
      </c>
      <c r="G55" s="4" t="n">
        <v>1700</v>
      </c>
      <c r="H55" s="4"/>
      <c r="I55" s="4" t="n">
        <v>2021</v>
      </c>
      <c r="J55" s="3" t="n">
        <f aca="false">IF(OR(G55="",I55=""),"",G55-I55)</f>
        <v>-321</v>
      </c>
      <c r="K55" s="5"/>
      <c r="L55" s="4" t="s">
        <v>13</v>
      </c>
      <c r="M55" s="3" t="n">
        <f aca="false">IF(AND(L55="No",I55&lt;&gt;""),1,0)</f>
        <v>1</v>
      </c>
    </row>
    <row r="56" customFormat="false" ht="15" hidden="false" customHeight="false" outlineLevel="0" collapsed="false">
      <c r="A56" s="2" t="n">
        <v>46235</v>
      </c>
      <c r="B56" s="3" t="str">
        <f aca="false">TEXT(A56,"ddd")</f>
        <v>Sat</v>
      </c>
      <c r="C56" s="4" t="n">
        <v>750</v>
      </c>
      <c r="D56" s="4" t="n">
        <v>0</v>
      </c>
      <c r="E56" s="4" t="n">
        <v>650</v>
      </c>
      <c r="F56" s="4" t="n">
        <v>350</v>
      </c>
      <c r="G56" s="4" t="n">
        <v>1750</v>
      </c>
      <c r="H56" s="4"/>
      <c r="I56" s="4" t="n">
        <v>2647</v>
      </c>
      <c r="J56" s="3" t="n">
        <f aca="false">IF(OR(G56="",I56=""),"",G56-I56)</f>
        <v>-897</v>
      </c>
      <c r="K56" s="5"/>
      <c r="L56" s="4" t="s">
        <v>13</v>
      </c>
      <c r="M56" s="3" t="n">
        <f aca="false">IF(AND(L56="No",I56&lt;&gt;""),1,0)</f>
        <v>1</v>
      </c>
    </row>
    <row r="57" customFormat="false" ht="15" hidden="false" customHeight="false" outlineLevel="0" collapsed="false">
      <c r="A57" s="2" t="n">
        <v>46236</v>
      </c>
      <c r="B57" s="3" t="str">
        <f aca="false">TEXT(A57,"ddd")</f>
        <v>Sun</v>
      </c>
      <c r="C57" s="4" t="n">
        <v>750</v>
      </c>
      <c r="D57" s="4" t="n">
        <v>0</v>
      </c>
      <c r="E57" s="4" t="n">
        <v>750</v>
      </c>
      <c r="F57" s="4" t="n">
        <v>0</v>
      </c>
      <c r="G57" s="4" t="n">
        <v>1500</v>
      </c>
      <c r="H57" s="4"/>
      <c r="I57" s="4" t="n">
        <v>1931</v>
      </c>
      <c r="J57" s="3" t="n">
        <f aca="false">IF(OR(G57="",I57=""),"",G57-I57)</f>
        <v>-431</v>
      </c>
      <c r="K57" s="5"/>
      <c r="L57" s="4" t="s">
        <v>13</v>
      </c>
      <c r="M57" s="3" t="n">
        <f aca="false">IF(AND(L57="No",I57&lt;&gt;""),1,0)</f>
        <v>1</v>
      </c>
    </row>
    <row r="58" customFormat="false" ht="15" hidden="false" customHeight="false" outlineLevel="0" collapsed="false">
      <c r="A58" s="2" t="n">
        <v>46237</v>
      </c>
      <c r="B58" s="3" t="str">
        <f aca="false">TEXT(A58,"ddd")</f>
        <v>Mon</v>
      </c>
      <c r="C58" s="4" t="n">
        <v>250</v>
      </c>
      <c r="D58" s="4" t="n">
        <v>480</v>
      </c>
      <c r="E58" s="4" t="n">
        <v>680</v>
      </c>
      <c r="F58" s="4" t="n">
        <v>0</v>
      </c>
      <c r="G58" s="4" t="n">
        <v>1418</v>
      </c>
      <c r="H58" s="4"/>
      <c r="I58" s="4" t="n">
        <v>1856</v>
      </c>
      <c r="J58" s="3" t="n">
        <f aca="false">IF(OR(G58="",I58=""),"",G58-I58)</f>
        <v>-438</v>
      </c>
      <c r="K58" s="5" t="n">
        <v>70.8</v>
      </c>
      <c r="L58" s="4" t="s">
        <v>13</v>
      </c>
      <c r="M58" s="3" t="n">
        <f aca="false">IF(AND(L58="No",I58&lt;&gt;""),1,0)</f>
        <v>1</v>
      </c>
    </row>
    <row r="59" customFormat="false" ht="15" hidden="false" customHeight="false" outlineLevel="0" collapsed="false">
      <c r="A59" s="2" t="n">
        <v>46238</v>
      </c>
      <c r="B59" s="3" t="str">
        <f aca="false">TEXT(A59,"ddd")</f>
        <v>Tue</v>
      </c>
      <c r="C59" s="4" t="n">
        <v>180</v>
      </c>
      <c r="D59" s="4" t="n">
        <v>800</v>
      </c>
      <c r="E59" s="4" t="n">
        <v>870</v>
      </c>
      <c r="F59" s="4" t="n">
        <v>80</v>
      </c>
      <c r="G59" s="4" t="n">
        <v>1950</v>
      </c>
      <c r="H59" s="4"/>
      <c r="I59" s="4" t="n">
        <v>2114</v>
      </c>
      <c r="J59" s="3" t="n">
        <f aca="false">IF(OR(G59="",I59=""),"",G59-I59)</f>
        <v>-164</v>
      </c>
      <c r="K59" s="5"/>
      <c r="L59" s="4" t="s">
        <v>13</v>
      </c>
      <c r="M59" s="3" t="n">
        <f aca="false">IF(AND(L59="No",I59&lt;&gt;""),1,0)</f>
        <v>1</v>
      </c>
    </row>
    <row r="60" customFormat="false" ht="15" hidden="false" customHeight="false" outlineLevel="0" collapsed="false">
      <c r="A60" s="2" t="n">
        <v>46239</v>
      </c>
      <c r="B60" s="3" t="str">
        <f aca="false">TEXT(A60,"ddd")</f>
        <v>Wed</v>
      </c>
      <c r="C60" s="4" t="n">
        <v>440</v>
      </c>
      <c r="D60" s="4" t="n">
        <v>830</v>
      </c>
      <c r="E60" s="4" t="n">
        <v>240</v>
      </c>
      <c r="F60" s="4" t="n">
        <v>0</v>
      </c>
      <c r="G60" s="4" t="n">
        <v>1510</v>
      </c>
      <c r="H60" s="4"/>
      <c r="I60" s="4" t="n">
        <v>1950</v>
      </c>
      <c r="J60" s="3" t="n">
        <f aca="false">IF(OR(G60="",I60=""),"",G60-I60)</f>
        <v>-440</v>
      </c>
      <c r="K60" s="5"/>
      <c r="L60" s="4" t="s">
        <v>13</v>
      </c>
      <c r="M60" s="3" t="n">
        <f aca="false">IF(AND(L60="No",I60&lt;&gt;""),1,0)</f>
        <v>1</v>
      </c>
    </row>
    <row r="61" customFormat="false" ht="15" hidden="false" customHeight="false" outlineLevel="0" collapsed="false">
      <c r="A61" s="2" t="n">
        <v>46240</v>
      </c>
      <c r="B61" s="3" t="str">
        <f aca="false">TEXT(A61,"ddd")</f>
        <v>Thu</v>
      </c>
      <c r="C61" s="4" t="n">
        <v>250</v>
      </c>
      <c r="D61" s="4" t="n">
        <v>680</v>
      </c>
      <c r="E61" s="4" t="n">
        <v>487</v>
      </c>
      <c r="F61" s="4" t="n">
        <v>500</v>
      </c>
      <c r="G61" s="4" t="n">
        <v>1920</v>
      </c>
      <c r="H61" s="4"/>
      <c r="I61" s="4" t="n">
        <v>2091</v>
      </c>
      <c r="J61" s="3" t="n">
        <f aca="false">IF(OR(G61="",I61=""),"",G61-I61)</f>
        <v>-171</v>
      </c>
      <c r="K61" s="5"/>
      <c r="L61" s="4" t="s">
        <v>13</v>
      </c>
      <c r="M61" s="3" t="n">
        <f aca="false">IF(AND(L61="No",I61&lt;&gt;""),1,0)</f>
        <v>1</v>
      </c>
    </row>
    <row r="62" customFormat="false" ht="15" hidden="false" customHeight="false" outlineLevel="0" collapsed="false">
      <c r="A62" s="2" t="n">
        <v>46241</v>
      </c>
      <c r="B62" s="3" t="str">
        <f aca="false">TEXT(A62,"ddd")</f>
        <v>Fri</v>
      </c>
      <c r="C62" s="4" t="n">
        <v>250</v>
      </c>
      <c r="D62" s="4" t="n">
        <v>650</v>
      </c>
      <c r="E62" s="4" t="n">
        <v>600</v>
      </c>
      <c r="F62" s="4" t="n">
        <v>275</v>
      </c>
      <c r="G62" s="4" t="n">
        <v>1775</v>
      </c>
      <c r="H62" s="4"/>
      <c r="I62" s="4" t="n">
        <v>2091</v>
      </c>
      <c r="J62" s="3" t="n">
        <f aca="false">IF(OR(G62="",I62=""),"",G62-I62)</f>
        <v>-316</v>
      </c>
      <c r="K62" s="5"/>
      <c r="L62" s="4" t="s">
        <v>13</v>
      </c>
      <c r="M62" s="3" t="n">
        <f aca="false">IF(AND(L62="No",I62&lt;&gt;""),1,0)</f>
        <v>1</v>
      </c>
    </row>
    <row r="63" customFormat="false" ht="15" hidden="false" customHeight="false" outlineLevel="0" collapsed="false">
      <c r="A63" s="2" t="n">
        <v>46242</v>
      </c>
      <c r="B63" s="3" t="str">
        <f aca="false">TEXT(A63,"ddd")</f>
        <v>Sat</v>
      </c>
      <c r="C63" s="4" t="n">
        <v>0</v>
      </c>
      <c r="D63" s="4" t="n">
        <v>850</v>
      </c>
      <c r="E63" s="4" t="n">
        <v>500</v>
      </c>
      <c r="F63" s="4" t="n">
        <v>0</v>
      </c>
      <c r="G63" s="4" t="n">
        <v>1350</v>
      </c>
      <c r="H63" s="4"/>
      <c r="I63" s="4" t="n">
        <v>1650</v>
      </c>
      <c r="J63" s="3" t="n">
        <f aca="false">IF(OR(G63="",I63=""),"",G63-I63)</f>
        <v>-300</v>
      </c>
      <c r="K63" s="5"/>
      <c r="L63" s="4" t="s">
        <v>13</v>
      </c>
      <c r="M63" s="3" t="n">
        <f aca="false">IF(AND(L63="No",I63&lt;&gt;""),1,0)</f>
        <v>1</v>
      </c>
    </row>
    <row r="64" customFormat="false" ht="15" hidden="false" customHeight="false" outlineLevel="0" collapsed="false">
      <c r="A64" s="2" t="n">
        <v>46243</v>
      </c>
      <c r="B64" s="3" t="str">
        <f aca="false">TEXT(A64,"ddd")</f>
        <v>Sun</v>
      </c>
      <c r="C64" s="4" t="n">
        <v>600</v>
      </c>
      <c r="D64" s="4" t="n">
        <v>0</v>
      </c>
      <c r="E64" s="4" t="n">
        <v>890</v>
      </c>
      <c r="F64" s="4" t="n">
        <v>400</v>
      </c>
      <c r="G64" s="4" t="n">
        <v>1890</v>
      </c>
      <c r="H64" s="4"/>
      <c r="I64" s="4" t="n">
        <v>1806</v>
      </c>
      <c r="J64" s="3" t="n">
        <f aca="false">IF(OR(G64="",I64=""),"",G64-I64)</f>
        <v>84</v>
      </c>
      <c r="K64" s="5"/>
      <c r="L64" s="4" t="s">
        <v>13</v>
      </c>
      <c r="M64" s="3" t="n">
        <f aca="false">IF(AND(L64="No",I64&lt;&gt;""),1,0)</f>
        <v>1</v>
      </c>
    </row>
    <row r="65" customFormat="false" ht="15" hidden="false" customHeight="false" outlineLevel="0" collapsed="false">
      <c r="A65" s="2" t="n">
        <v>46244</v>
      </c>
      <c r="B65" s="3" t="str">
        <f aca="false">TEXT(A65,"ddd")</f>
        <v>Mon</v>
      </c>
      <c r="C65" s="4" t="n">
        <v>250</v>
      </c>
      <c r="D65" s="4" t="n">
        <v>500</v>
      </c>
      <c r="E65" s="4" t="n">
        <v>450</v>
      </c>
      <c r="F65" s="4" t="n">
        <v>540</v>
      </c>
      <c r="G65" s="4" t="n">
        <v>1740</v>
      </c>
      <c r="H65" s="4"/>
      <c r="I65" s="4" t="n">
        <v>1830</v>
      </c>
      <c r="J65" s="3" t="n">
        <f aca="false">IF(OR(G65="",I65=""),"",G65-I65)</f>
        <v>-90</v>
      </c>
      <c r="K65" s="5" t="n">
        <v>71</v>
      </c>
      <c r="L65" s="4" t="s">
        <v>13</v>
      </c>
      <c r="M65" s="3" t="n">
        <f aca="false">IF(AND(L65="No",I65&lt;&gt;""),1,0)</f>
        <v>1</v>
      </c>
    </row>
    <row r="66" customFormat="false" ht="15" hidden="false" customHeight="false" outlineLevel="0" collapsed="false">
      <c r="A66" s="2" t="n">
        <v>46245</v>
      </c>
      <c r="B66" s="3" t="str">
        <f aca="false">TEXT(A66,"ddd")</f>
        <v>Tue</v>
      </c>
      <c r="C66" s="4" t="n">
        <v>0</v>
      </c>
      <c r="D66" s="4" t="n">
        <v>800</v>
      </c>
      <c r="E66" s="4" t="n">
        <v>1250</v>
      </c>
      <c r="F66" s="4" t="n">
        <v>0</v>
      </c>
      <c r="G66" s="4" t="n">
        <v>2050</v>
      </c>
      <c r="H66" s="4"/>
      <c r="I66" s="4" t="n">
        <v>1700</v>
      </c>
      <c r="J66" s="3" t="n">
        <f aca="false">IF(OR(G66="",I66=""),"",G66-I66)</f>
        <v>350</v>
      </c>
      <c r="K66" s="5"/>
      <c r="L66" s="4" t="s">
        <v>13</v>
      </c>
      <c r="M66" s="3" t="n">
        <f aca="false">IF(AND(L66="No",I66&lt;&gt;""),1,0)</f>
        <v>1</v>
      </c>
    </row>
    <row r="67" customFormat="false" ht="15" hidden="false" customHeight="false" outlineLevel="0" collapsed="false">
      <c r="A67" s="2" t="n">
        <v>46246</v>
      </c>
      <c r="B67" s="3" t="str">
        <f aca="false">TEXT(A67,"ddd")</f>
        <v>Wed</v>
      </c>
      <c r="C67" s="4" t="n">
        <v>100</v>
      </c>
      <c r="D67" s="4" t="n">
        <v>650</v>
      </c>
      <c r="E67" s="4" t="n">
        <v>900</v>
      </c>
      <c r="F67" s="4" t="n">
        <v>450</v>
      </c>
      <c r="G67" s="4" t="n">
        <v>2100</v>
      </c>
      <c r="H67" s="4"/>
      <c r="I67" s="4" t="n">
        <v>1700</v>
      </c>
      <c r="J67" s="3" t="n">
        <f aca="false">IF(OR(G67="",I67=""),"",G67-I67)</f>
        <v>400</v>
      </c>
      <c r="K67" s="5"/>
      <c r="L67" s="4" t="s">
        <v>13</v>
      </c>
      <c r="M67" s="3" t="n">
        <f aca="false">IF(AND(L67="No",I67&lt;&gt;""),1,0)</f>
        <v>1</v>
      </c>
    </row>
    <row r="68" customFormat="false" ht="15" hidden="false" customHeight="false" outlineLevel="0" collapsed="false">
      <c r="A68" s="2" t="n">
        <v>46247</v>
      </c>
      <c r="B68" s="3" t="str">
        <f aca="false">TEXT(A68,"ddd")</f>
        <v>Thu</v>
      </c>
      <c r="C68" s="4" t="n">
        <v>200</v>
      </c>
      <c r="D68" s="4" t="n">
        <v>500</v>
      </c>
      <c r="E68" s="4" t="n">
        <v>500</v>
      </c>
      <c r="F68" s="4" t="n">
        <v>500</v>
      </c>
      <c r="G68" s="4" t="n">
        <v>1700</v>
      </c>
      <c r="H68" s="4"/>
      <c r="I68" s="4" t="n">
        <v>1650</v>
      </c>
      <c r="J68" s="3" t="n">
        <f aca="false">IF(OR(G68="",I68=""),"",G68-I68)</f>
        <v>50</v>
      </c>
      <c r="K68" s="5"/>
      <c r="L68" s="4" t="s">
        <v>13</v>
      </c>
      <c r="M68" s="3" t="n">
        <f aca="false">IF(AND(L68="No",I68&lt;&gt;""),1,0)</f>
        <v>1</v>
      </c>
    </row>
    <row r="69" customFormat="false" ht="15" hidden="false" customHeight="false" outlineLevel="0" collapsed="false">
      <c r="A69" s="2" t="n">
        <v>46248</v>
      </c>
      <c r="B69" s="3" t="str">
        <f aca="false">TEXT(A69,"ddd")</f>
        <v>Fri</v>
      </c>
      <c r="C69" s="4" t="n">
        <v>180</v>
      </c>
      <c r="D69" s="4" t="n">
        <v>500</v>
      </c>
      <c r="E69" s="4" t="n">
        <v>500</v>
      </c>
      <c r="F69" s="4" t="n">
        <v>150</v>
      </c>
      <c r="G69" s="4" t="n">
        <v>1330</v>
      </c>
      <c r="H69" s="4"/>
      <c r="I69" s="4" t="n">
        <v>1922</v>
      </c>
      <c r="J69" s="3" t="n">
        <f aca="false">IF(OR(G69="",I69=""),"",G69-I69)</f>
        <v>-592</v>
      </c>
      <c r="K69" s="5"/>
      <c r="L69" s="4" t="s">
        <v>13</v>
      </c>
      <c r="M69" s="3" t="n">
        <f aca="false">IF(AND(L69="No",I69&lt;&gt;""),1,0)</f>
        <v>1</v>
      </c>
    </row>
    <row r="70" customFormat="false" ht="15" hidden="false" customHeight="false" outlineLevel="0" collapsed="false">
      <c r="A70" s="2" t="n">
        <v>46249</v>
      </c>
      <c r="B70" s="3" t="str">
        <f aca="false">TEXT(A70,"ddd")</f>
        <v>Sat</v>
      </c>
      <c r="C70" s="4" t="n">
        <v>300</v>
      </c>
      <c r="D70" s="4" t="n">
        <v>300</v>
      </c>
      <c r="E70" s="4" t="n">
        <v>1700</v>
      </c>
      <c r="F70" s="4" t="n">
        <v>0</v>
      </c>
      <c r="G70" s="4" t="n">
        <v>2300</v>
      </c>
      <c r="H70" s="4"/>
      <c r="I70" s="4" t="n">
        <v>1997</v>
      </c>
      <c r="J70" s="3" t="n">
        <f aca="false">IF(OR(G70="",I70=""),"",G70-I70)</f>
        <v>303</v>
      </c>
      <c r="K70" s="5"/>
      <c r="L70" s="4" t="s">
        <v>13</v>
      </c>
      <c r="M70" s="3" t="n">
        <f aca="false">IF(AND(L70="No",I70&lt;&gt;""),1,0)</f>
        <v>1</v>
      </c>
    </row>
    <row r="71" customFormat="false" ht="15" hidden="false" customHeight="false" outlineLevel="0" collapsed="false">
      <c r="A71" s="2" t="n">
        <v>46250</v>
      </c>
      <c r="B71" s="3" t="str">
        <f aca="false">TEXT(A71,"ddd")</f>
        <v>Sun</v>
      </c>
      <c r="C71" s="4" t="n">
        <v>250</v>
      </c>
      <c r="D71" s="4" t="n">
        <v>780</v>
      </c>
      <c r="E71" s="4" t="n">
        <v>500</v>
      </c>
      <c r="F71" s="4" t="n">
        <v>180</v>
      </c>
      <c r="G71" s="4" t="n">
        <v>1710</v>
      </c>
      <c r="H71" s="4"/>
      <c r="I71" s="4" t="n">
        <v>1818</v>
      </c>
      <c r="J71" s="3" t="n">
        <f aca="false">IF(OR(G71="",I71=""),"",G71-I71)</f>
        <v>-108</v>
      </c>
      <c r="K71" s="5"/>
      <c r="L71" s="4" t="s">
        <v>13</v>
      </c>
      <c r="M71" s="3" t="n">
        <f aca="false">IF(AND(L71="No",I71&lt;&gt;""),1,0)</f>
        <v>1</v>
      </c>
    </row>
    <row r="72" customFormat="false" ht="15" hidden="false" customHeight="false" outlineLevel="0" collapsed="false">
      <c r="A72" s="2" t="n">
        <v>46251</v>
      </c>
      <c r="B72" s="3" t="str">
        <f aca="false">TEXT(A72,"ddd")</f>
        <v>Mon</v>
      </c>
      <c r="C72" s="4" t="n">
        <v>250</v>
      </c>
      <c r="D72" s="4" t="n">
        <v>500</v>
      </c>
      <c r="E72" s="4" t="n">
        <v>750</v>
      </c>
      <c r="F72" s="4" t="n">
        <v>690</v>
      </c>
      <c r="G72" s="4" t="n">
        <v>2190</v>
      </c>
      <c r="H72" s="4"/>
      <c r="I72" s="4" t="n">
        <v>1770</v>
      </c>
      <c r="J72" s="3" t="n">
        <f aca="false">IF(OR(G72="",I72=""),"",G72-I72)</f>
        <v>420</v>
      </c>
      <c r="K72" s="5" t="n">
        <v>71.3</v>
      </c>
      <c r="L72" s="4" t="s">
        <v>13</v>
      </c>
      <c r="M72" s="3" t="n">
        <f aca="false">IF(AND(L72="No",I72&lt;&gt;""),1,0)</f>
        <v>1</v>
      </c>
    </row>
    <row r="73" customFormat="false" ht="15" hidden="false" customHeight="false" outlineLevel="0" collapsed="false">
      <c r="A73" s="2" t="n">
        <v>46252</v>
      </c>
      <c r="B73" s="3" t="str">
        <f aca="false">TEXT(A73,"ddd")</f>
        <v>Tue</v>
      </c>
      <c r="C73" s="4" t="n">
        <v>300</v>
      </c>
      <c r="D73" s="4" t="n">
        <v>500</v>
      </c>
      <c r="E73" s="4" t="n">
        <v>600</v>
      </c>
      <c r="F73" s="4" t="n">
        <v>180</v>
      </c>
      <c r="G73" s="4" t="n">
        <v>1580</v>
      </c>
      <c r="H73" s="4"/>
      <c r="I73" s="4" t="n">
        <v>1739</v>
      </c>
      <c r="J73" s="3" t="n">
        <f aca="false">IF(OR(G73="",I73=""),"",G73-I73)</f>
        <v>-159</v>
      </c>
      <c r="K73" s="5"/>
      <c r="L73" s="4" t="s">
        <v>13</v>
      </c>
      <c r="M73" s="3" t="n">
        <f aca="false">IF(AND(L73="No",I73&lt;&gt;""),1,0)</f>
        <v>1</v>
      </c>
    </row>
    <row r="74" customFormat="false" ht="15" hidden="false" customHeight="false" outlineLevel="0" collapsed="false">
      <c r="A74" s="2" t="n">
        <v>46253</v>
      </c>
      <c r="B74" s="3" t="str">
        <f aca="false">TEXT(A74,"ddd")</f>
        <v>Wed</v>
      </c>
      <c r="C74" s="4" t="n">
        <v>80</v>
      </c>
      <c r="D74" s="4" t="n">
        <v>600</v>
      </c>
      <c r="E74" s="4" t="n">
        <v>500</v>
      </c>
      <c r="F74" s="4" t="n">
        <v>830</v>
      </c>
      <c r="G74" s="4" t="n">
        <v>2010</v>
      </c>
      <c r="H74" s="4"/>
      <c r="I74" s="4" t="n">
        <v>1923</v>
      </c>
      <c r="J74" s="3" t="n">
        <f aca="false">IF(OR(G74="",I74=""),"",G74-I74)</f>
        <v>87</v>
      </c>
      <c r="K74" s="5"/>
      <c r="L74" s="4" t="s">
        <v>13</v>
      </c>
      <c r="M74" s="3" t="n">
        <f aca="false">IF(AND(L74="No",I74&lt;&gt;""),1,0)</f>
        <v>1</v>
      </c>
    </row>
    <row r="75" customFormat="false" ht="15" hidden="false" customHeight="false" outlineLevel="0" collapsed="false">
      <c r="A75" s="2" t="n">
        <v>46254</v>
      </c>
      <c r="B75" s="3" t="str">
        <f aca="false">TEXT(A75,"ddd")</f>
        <v>Thu</v>
      </c>
      <c r="C75" s="4" t="n">
        <v>490</v>
      </c>
      <c r="D75" s="4" t="n">
        <v>500</v>
      </c>
      <c r="E75" s="4" t="n">
        <v>750</v>
      </c>
      <c r="F75" s="4" t="n">
        <v>0</v>
      </c>
      <c r="G75" s="4" t="n">
        <v>1740</v>
      </c>
      <c r="H75" s="4"/>
      <c r="I75" s="4" t="n">
        <v>1856</v>
      </c>
      <c r="J75" s="3" t="n">
        <f aca="false">IF(OR(G75="",I75=""),"",G75-I75)</f>
        <v>-116</v>
      </c>
      <c r="K75" s="5"/>
      <c r="L75" s="4" t="s">
        <v>13</v>
      </c>
      <c r="M75" s="3" t="n">
        <f aca="false">IF(AND(L75="No",I75&lt;&gt;""),1,0)</f>
        <v>1</v>
      </c>
    </row>
    <row r="76" customFormat="false" ht="15" hidden="false" customHeight="false" outlineLevel="0" collapsed="false">
      <c r="A76" s="2" t="n">
        <v>46255</v>
      </c>
      <c r="B76" s="3" t="str">
        <f aca="false">TEXT(A76,"ddd")</f>
        <v>Fri</v>
      </c>
      <c r="C76" s="4" t="n">
        <v>0</v>
      </c>
      <c r="D76" s="4" t="n">
        <v>500</v>
      </c>
      <c r="E76" s="4" t="n">
        <v>450</v>
      </c>
      <c r="F76" s="4" t="n">
        <v>430</v>
      </c>
      <c r="G76" s="4" t="n">
        <v>1380</v>
      </c>
      <c r="H76" s="4"/>
      <c r="I76" s="4" t="n">
        <v>1053</v>
      </c>
      <c r="J76" s="3" t="n">
        <f aca="false">IF(OR(G76="",I76=""),"",G76-I76)</f>
        <v>327</v>
      </c>
      <c r="K76" s="5"/>
      <c r="L76" s="4" t="s">
        <v>13</v>
      </c>
      <c r="M76" s="3" t="n">
        <f aca="false">IF(AND(L76="No",I76&lt;&gt;""),1,0)</f>
        <v>1</v>
      </c>
    </row>
    <row r="77" customFormat="false" ht="15" hidden="false" customHeight="false" outlineLevel="0" collapsed="false">
      <c r="A77" s="2" t="n">
        <v>46256</v>
      </c>
      <c r="B77" s="3" t="str">
        <f aca="false">TEXT(A77,"ddd")</f>
        <v>Sat</v>
      </c>
      <c r="C77" s="4" t="n">
        <v>0</v>
      </c>
      <c r="D77" s="4" t="n">
        <v>550</v>
      </c>
      <c r="E77" s="4" t="n">
        <v>600</v>
      </c>
      <c r="F77" s="4" t="n">
        <v>70</v>
      </c>
      <c r="G77" s="4" t="n">
        <v>1220</v>
      </c>
      <c r="H77" s="4"/>
      <c r="I77" s="4" t="n">
        <v>1011</v>
      </c>
      <c r="J77" s="3" t="n">
        <f aca="false">IF(OR(G77="",I77=""),"",G77-I77)</f>
        <v>209</v>
      </c>
      <c r="K77" s="5"/>
      <c r="L77" s="4" t="s">
        <v>13</v>
      </c>
      <c r="M77" s="3" t="n">
        <f aca="false">IF(AND(L77="No",I77&lt;&gt;""),1,0)</f>
        <v>1</v>
      </c>
    </row>
    <row r="78" customFormat="false" ht="15" hidden="false" customHeight="false" outlineLevel="0" collapsed="false">
      <c r="A78" s="2" t="n">
        <v>46257</v>
      </c>
      <c r="B78" s="3" t="str">
        <f aca="false">TEXT(A78,"ddd")</f>
        <v>Sun</v>
      </c>
      <c r="C78" s="4" t="n">
        <v>0</v>
      </c>
      <c r="D78" s="4" t="n">
        <v>250</v>
      </c>
      <c r="E78" s="4" t="n">
        <v>850</v>
      </c>
      <c r="F78" s="4" t="n">
        <v>360</v>
      </c>
      <c r="G78" s="4" t="n">
        <v>1460</v>
      </c>
      <c r="H78" s="4"/>
      <c r="I78" s="4" t="n">
        <v>1902</v>
      </c>
      <c r="J78" s="3" t="n">
        <f aca="false">IF(OR(G78="",I78=""),"",G78-I78)</f>
        <v>-442</v>
      </c>
      <c r="K78" s="5"/>
      <c r="L78" s="4" t="s">
        <v>13</v>
      </c>
      <c r="M78" s="3" t="n">
        <f aca="false">IF(AND(L78="No",I78&lt;&gt;""),1,0)</f>
        <v>1</v>
      </c>
    </row>
    <row r="79" customFormat="false" ht="15" hidden="false" customHeight="false" outlineLevel="0" collapsed="false">
      <c r="A79" s="2" t="n">
        <v>46258</v>
      </c>
      <c r="B79" s="3" t="str">
        <f aca="false">TEXT(A79,"ddd")</f>
        <v>Mon</v>
      </c>
      <c r="C79" s="4" t="n">
        <v>120</v>
      </c>
      <c r="D79" s="4" t="n">
        <v>600</v>
      </c>
      <c r="E79" s="4" t="n">
        <v>550</v>
      </c>
      <c r="F79" s="4" t="n">
        <v>630</v>
      </c>
      <c r="G79" s="4" t="n">
        <v>1900</v>
      </c>
      <c r="H79" s="4"/>
      <c r="I79" s="4" t="n">
        <v>1643</v>
      </c>
      <c r="J79" s="3" t="n">
        <f aca="false">IF(OR(G79="",I79=""),"",G79-I79)</f>
        <v>257</v>
      </c>
      <c r="K79" s="5" t="n">
        <v>71.2</v>
      </c>
      <c r="L79" s="4" t="s">
        <v>13</v>
      </c>
      <c r="M79" s="3" t="n">
        <f aca="false">IF(AND(L79="No",I79&lt;&gt;""),1,0)</f>
        <v>1</v>
      </c>
    </row>
    <row r="80" customFormat="false" ht="15" hidden="false" customHeight="false" outlineLevel="0" collapsed="false">
      <c r="A80" s="2" t="n">
        <v>46259</v>
      </c>
      <c r="B80" s="3" t="str">
        <f aca="false">TEXT(A80,"ddd")</f>
        <v>Tue</v>
      </c>
      <c r="C80" s="4" t="n">
        <v>355</v>
      </c>
      <c r="D80" s="4"/>
      <c r="E80" s="4"/>
      <c r="F80" s="4"/>
      <c r="G80" s="4"/>
      <c r="H80" s="4"/>
      <c r="I80" s="4"/>
      <c r="J80" s="3" t="str">
        <f aca="false">IF(OR(G80="",I80=""),"",G80-I80)</f>
        <v/>
      </c>
      <c r="K80" s="5"/>
      <c r="L80" s="4" t="s">
        <v>13</v>
      </c>
      <c r="M80" s="3" t="n">
        <f aca="false">IF(AND(L80="No",I80&lt;&gt;""),1,0)</f>
        <v>0</v>
      </c>
    </row>
    <row r="82" customFormat="false" ht="15" hidden="false" customHeight="true" outlineLevel="0" collapsed="false">
      <c r="A82" s="10" t="s">
        <v>15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</row>
    <row r="83" customFormat="false" ht="15" hidden="false" customHeight="true" outlineLevel="0" collapsed="false">
      <c r="A83" s="11" t="s">
        <v>16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 customFormat="false" ht="15" hidden="false" customHeight="true" outlineLevel="0" collapsed="false">
      <c r="A84" s="11" t="s">
        <v>17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 customFormat="false" ht="15" hidden="false" customHeight="true" outlineLevel="0" collapsed="false">
      <c r="A85" s="11" t="s">
        <v>18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 customFormat="false" ht="15" hidden="false" customHeight="true" outlineLevel="0" collapsed="false">
      <c r="A86" s="11" t="s">
        <v>19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 customFormat="false" ht="15" hidden="false" customHeight="true" outlineLevel="0" collapsed="false">
      <c r="A87" s="11" t="s">
        <v>20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</sheetData>
  <mergeCells count="6">
    <mergeCell ref="A82:M82"/>
    <mergeCell ref="A83:M83"/>
    <mergeCell ref="A84:M84"/>
    <mergeCell ref="A85:M85"/>
    <mergeCell ref="A86:M86"/>
    <mergeCell ref="A87:M8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2" t="s">
        <v>21</v>
      </c>
      <c r="B1" s="12"/>
      <c r="C1" s="12"/>
      <c r="D1" s="12"/>
    </row>
    <row r="3" customFormat="false" ht="15" hidden="false" customHeight="false" outlineLevel="0" collapsed="false">
      <c r="A3" s="13" t="s">
        <v>22</v>
      </c>
      <c r="B3" s="14" t="n">
        <v>157</v>
      </c>
    </row>
    <row r="4" customFormat="false" ht="15" hidden="false" customHeight="false" outlineLevel="0" collapsed="false">
      <c r="A4" s="13" t="s">
        <v>23</v>
      </c>
      <c r="B4" s="15" t="n">
        <v>46181</v>
      </c>
    </row>
    <row r="5" customFormat="false" ht="15" hidden="false" customHeight="false" outlineLevel="0" collapsed="false">
      <c r="A5" s="13" t="s">
        <v>24</v>
      </c>
      <c r="B5" s="16" t="n">
        <v>71.3</v>
      </c>
    </row>
    <row r="6" customFormat="false" ht="15" hidden="false" customHeight="false" outlineLevel="0" collapsed="false">
      <c r="A6" s="13" t="s">
        <v>25</v>
      </c>
      <c r="B6" s="16" t="n">
        <v>62</v>
      </c>
    </row>
    <row r="7" customFormat="false" ht="15" hidden="false" customHeight="false" outlineLevel="0" collapsed="false">
      <c r="A7" s="13" t="s">
        <v>26</v>
      </c>
      <c r="B7" s="14" t="n">
        <v>7700</v>
      </c>
    </row>
    <row r="9" customFormat="false" ht="15" hidden="false" customHeight="false" outlineLevel="0" collapsed="false">
      <c r="A9" s="13" t="s">
        <v>27</v>
      </c>
      <c r="B9" s="17" t="n">
        <f aca="false">LOOKUP(2,1/('Daily Log'!$K$2:$K$80&lt;&gt;""),'Daily Log'!$K$2:$K$80)</f>
        <v>71.2</v>
      </c>
    </row>
    <row r="10" customFormat="false" ht="15" hidden="false" customHeight="false" outlineLevel="0" collapsed="false">
      <c r="A10" s="13" t="s">
        <v>28</v>
      </c>
      <c r="B10" s="18" t="n">
        <f aca="false">LOOKUP(2,1/('Daily Log'!$K$2:$K$80&lt;&gt;""),'Daily Log'!$A$2:$A$80)</f>
        <v>46258</v>
      </c>
    </row>
    <row r="12" customFormat="false" ht="15" hidden="false" customHeight="false" outlineLevel="0" collapsed="false">
      <c r="A12" s="13" t="s">
        <v>29</v>
      </c>
      <c r="B12" s="17" t="n">
        <f aca="false">B9-B6</f>
        <v>9.2</v>
      </c>
    </row>
    <row r="13" customFormat="false" ht="15" hidden="false" customHeight="false" outlineLevel="0" collapsed="false">
      <c r="A13" s="13" t="s">
        <v>30</v>
      </c>
      <c r="B13" s="17" t="n">
        <f aca="false">B5-B9</f>
        <v>0.0999999999999943</v>
      </c>
    </row>
    <row r="15" customFormat="false" ht="15" hidden="false" customHeight="false" outlineLevel="0" collapsed="false">
      <c r="A15" s="13" t="s">
        <v>31</v>
      </c>
      <c r="B15" s="19" t="n">
        <f aca="false">AVERAGEIFS('Daily Log'!$G$2:$G$80,'Daily Log'!$M$2:$M$80,1)</f>
        <v>1739.77333333333</v>
      </c>
    </row>
    <row r="16" customFormat="false" ht="15" hidden="false" customHeight="false" outlineLevel="0" collapsed="false">
      <c r="A16" s="13" t="s">
        <v>32</v>
      </c>
      <c r="B16" s="19" t="n">
        <f aca="false">AVERAGEIFS('Daily Log'!$I$2:$I$80,'Daily Log'!$M$2:$M$80,1)</f>
        <v>1724.69333333333</v>
      </c>
    </row>
    <row r="17" customFormat="false" ht="15" hidden="false" customHeight="false" outlineLevel="0" collapsed="false">
      <c r="A17" s="13" t="s">
        <v>33</v>
      </c>
      <c r="B17" s="19" t="n">
        <f aca="false">B16-B15</f>
        <v>-15.0799999999999</v>
      </c>
    </row>
    <row r="19" customFormat="false" ht="15" hidden="false" customHeight="false" outlineLevel="0" collapsed="false">
      <c r="A19" s="13" t="s">
        <v>34</v>
      </c>
      <c r="B19" s="19" t="str">
        <f aca="false">IF(B17&lt;=0,"No net deficit yet",(B12*B7)/B17)</f>
        <v>No net deficit yet</v>
      </c>
    </row>
    <row r="20" customFormat="false" ht="15" hidden="false" customHeight="false" outlineLevel="0" collapsed="false">
      <c r="A20" s="13" t="s">
        <v>35</v>
      </c>
      <c r="B20" s="17" t="str">
        <f aca="false">IF(ISNUMBER(B19),B19/7,"-")</f>
        <v>-</v>
      </c>
    </row>
    <row r="21" customFormat="false" ht="15" hidden="false" customHeight="false" outlineLevel="0" collapsed="false">
      <c r="A21" s="13" t="s">
        <v>36</v>
      </c>
      <c r="B21" s="18" t="str">
        <f aca="false">IF(ISNUMBER(B19),B10+B19,"-")</f>
        <v>-</v>
      </c>
    </row>
    <row r="23" customFormat="false" ht="15" hidden="false" customHeight="false" outlineLevel="0" collapsed="false">
      <c r="A23" s="13" t="s">
        <v>37</v>
      </c>
      <c r="B23" s="20" t="s">
        <v>38</v>
      </c>
    </row>
    <row r="24" customFormat="false" ht="15" hidden="false" customHeight="false" outlineLevel="0" collapsed="false">
      <c r="A24" s="13" t="s">
        <v>39</v>
      </c>
      <c r="B24" s="17" t="n">
        <f aca="false">B12/0.6</f>
        <v>15.3333333333333</v>
      </c>
    </row>
    <row r="26" customFormat="false" ht="15" hidden="false" customHeight="false" outlineLevel="0" collapsed="false">
      <c r="A26" s="13" t="s">
        <v>40</v>
      </c>
      <c r="B26" s="17" t="n">
        <f aca="false">B9/((B3/100)^2)</f>
        <v>28.8855531664571</v>
      </c>
    </row>
    <row r="27" customFormat="false" ht="15" hidden="false" customHeight="false" outlineLevel="0" collapsed="false">
      <c r="A27" s="13" t="s">
        <v>41</v>
      </c>
      <c r="B27" s="17" t="n">
        <f aca="false">B6/((B3/100)^2)</f>
        <v>25.1531502292182</v>
      </c>
    </row>
    <row r="30" customFormat="false" ht="15" hidden="false" customHeight="false" outlineLevel="0" collapsed="false">
      <c r="A30" s="21" t="s">
        <v>42</v>
      </c>
    </row>
    <row r="31" customFormat="false" ht="15" hidden="false" customHeight="true" outlineLevel="0" collapsed="false">
      <c r="A31" s="22" t="s">
        <v>43</v>
      </c>
      <c r="B31" s="22"/>
      <c r="C31" s="22"/>
      <c r="D31" s="22"/>
    </row>
    <row r="32" customFormat="false" ht="15" hidden="false" customHeight="false" outlineLevel="0" collapsed="false">
      <c r="A32" s="22"/>
      <c r="B32" s="22"/>
      <c r="C32" s="22"/>
      <c r="D32" s="22"/>
    </row>
    <row r="33" customFormat="false" ht="15" hidden="false" customHeight="false" outlineLevel="0" collapsed="false">
      <c r="A33" s="22"/>
      <c r="B33" s="22"/>
      <c r="C33" s="22"/>
      <c r="D33" s="22"/>
    </row>
    <row r="34" customFormat="false" ht="15" hidden="false" customHeight="false" outlineLevel="0" collapsed="false">
      <c r="A34" s="22"/>
      <c r="B34" s="22"/>
      <c r="C34" s="22"/>
      <c r="D34" s="22"/>
    </row>
  </sheetData>
  <mergeCells count="2">
    <mergeCell ref="A1:D1"/>
    <mergeCell ref="A31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20"/>
  </cols>
  <sheetData>
    <row r="1" customFormat="false" ht="26.85" hidden="false" customHeight="false" outlineLevel="0" collapsed="false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</row>
    <row r="2" customFormat="false" ht="15" hidden="false" customHeight="false" outlineLevel="0" collapsed="false">
      <c r="A2" s="23" t="n">
        <v>46181</v>
      </c>
      <c r="B2" s="23" t="n">
        <v>46187</v>
      </c>
      <c r="C2" s="24" t="n">
        <f aca="false">IFERROR(AVERAGEIFS('Daily Log'!$G$2:$G$80,'Daily Log'!$A$2:$A$80,"&gt;="&amp;A2,'Daily Log'!$A$2:$A$80,"&lt;="&amp;B2,'Daily Log'!$M$2:$M$80,1),"")</f>
        <v>1825.71428571429</v>
      </c>
      <c r="D2" s="24" t="n">
        <f aca="false">IFERROR(AVERAGEIFS('Daily Log'!$I$2:$I$80,'Daily Log'!$A$2:$A$80,"&gt;="&amp;A2,'Daily Log'!$A$2:$A$80,"&lt;="&amp;B2,'Daily Log'!$M$2:$M$80,1),"")</f>
        <v>1537</v>
      </c>
      <c r="E2" s="24" t="n">
        <f aca="false">IF(OR(C2="",D2=""),"",D2-C2)</f>
        <v>-288.714285714286</v>
      </c>
      <c r="F2" s="3" t="n">
        <f aca="false">COUNTIFS('Daily Log'!$A$2:$A$80,"&gt;="&amp;A2,'Daily Log'!$A$2:$A$80,"&lt;="&amp;B2,'Daily Log'!$G$2:$G$80,"&lt;&gt;"&amp;"""")</f>
        <v>7</v>
      </c>
      <c r="G2" s="25" t="n">
        <f aca="false">IFERROR(INDEX('Daily Log'!$K$2:$K$80,MATCH(_xlfn.MAXIFS('Daily Log'!$A$2:$A$80,'Daily Log'!$A$2:$A$80,"&gt;="&amp;A2,'Daily Log'!$A$2:$A$80,"&lt;="&amp;B2,'Daily Log'!$K$2:$K$80,"&lt;&gt;"),'Daily Log'!$A$2:$A$80,0)),"")</f>
        <v>71.3</v>
      </c>
      <c r="H2" s="26"/>
    </row>
    <row r="3" customFormat="false" ht="15" hidden="false" customHeight="false" outlineLevel="0" collapsed="false">
      <c r="A3" s="23" t="n">
        <v>46188</v>
      </c>
      <c r="B3" s="23" t="n">
        <v>46194</v>
      </c>
      <c r="C3" s="24" t="n">
        <f aca="false">IFERROR(AVERAGEIFS('Daily Log'!$G$2:$G$80,'Daily Log'!$A$2:$A$80,"&gt;="&amp;A3,'Daily Log'!$A$2:$A$80,"&lt;="&amp;B3,'Daily Log'!$M$2:$M$80,1),"")</f>
        <v>1677.85714285714</v>
      </c>
      <c r="D3" s="24" t="n">
        <f aca="false">IFERROR(AVERAGEIFS('Daily Log'!$I$2:$I$80,'Daily Log'!$A$2:$A$80,"&gt;="&amp;A3,'Daily Log'!$A$2:$A$80,"&lt;="&amp;B3,'Daily Log'!$M$2:$M$80,1),"")</f>
        <v>1675</v>
      </c>
      <c r="E3" s="24" t="n">
        <f aca="false">IF(OR(C3="",D3=""),"",D3-C3)</f>
        <v>-2.85714285714289</v>
      </c>
      <c r="F3" s="3" t="n">
        <f aca="false">COUNTIFS('Daily Log'!$A$2:$A$80,"&gt;="&amp;A3,'Daily Log'!$A$2:$A$80,"&lt;="&amp;B3,'Daily Log'!$G$2:$G$80,"&lt;&gt;"&amp;"""")</f>
        <v>7</v>
      </c>
      <c r="G3" s="25" t="n">
        <f aca="false">IFERROR(INDEX('Daily Log'!$K$2:$K$80,MATCH(_xlfn.MAXIFS('Daily Log'!$A$2:$A$80,'Daily Log'!$A$2:$A$80,"&gt;="&amp;A3,'Daily Log'!$A$2:$A$80,"&lt;="&amp;B3,'Daily Log'!$K$2:$K$80,"&lt;&gt;"),'Daily Log'!$A$2:$A$80,0)),"")</f>
        <v>70.9</v>
      </c>
      <c r="H3" s="25" t="n">
        <f aca="false">IF(OR(G3="",G2=""),"",G3-G2)</f>
        <v>-0.399999999999992</v>
      </c>
    </row>
    <row r="4" customFormat="false" ht="15" hidden="false" customHeight="false" outlineLevel="0" collapsed="false">
      <c r="A4" s="23" t="n">
        <v>46195</v>
      </c>
      <c r="B4" s="23" t="n">
        <v>46201</v>
      </c>
      <c r="C4" s="24" t="n">
        <f aca="false">IFERROR(AVERAGEIFS('Daily Log'!$G$2:$G$80,'Daily Log'!$A$2:$A$80,"&gt;="&amp;A4,'Daily Log'!$A$2:$A$80,"&lt;="&amp;B4,'Daily Log'!$M$2:$M$80,1),"")</f>
        <v>1740</v>
      </c>
      <c r="D4" s="24" t="n">
        <f aca="false">IFERROR(AVERAGEIFS('Daily Log'!$I$2:$I$80,'Daily Log'!$A$2:$A$80,"&gt;="&amp;A4,'Daily Log'!$A$2:$A$80,"&lt;="&amp;B4,'Daily Log'!$M$2:$M$80,1),"")</f>
        <v>1704</v>
      </c>
      <c r="E4" s="24" t="n">
        <f aca="false">IF(OR(C4="",D4=""),"",D4-C4)</f>
        <v>-36</v>
      </c>
      <c r="F4" s="3" t="n">
        <f aca="false">COUNTIFS('Daily Log'!$A$2:$A$80,"&gt;="&amp;A4,'Daily Log'!$A$2:$A$80,"&lt;="&amp;B4,'Daily Log'!$G$2:$G$80,"&lt;&gt;"&amp;"""")</f>
        <v>7</v>
      </c>
      <c r="G4" s="25" t="n">
        <f aca="false">IFERROR(INDEX('Daily Log'!$K$2:$K$80,MATCH(_xlfn.MAXIFS('Daily Log'!$A$2:$A$80,'Daily Log'!$A$2:$A$80,"&gt;="&amp;A4,'Daily Log'!$A$2:$A$80,"&lt;="&amp;B4,'Daily Log'!$K$2:$K$80,"&lt;&gt;"),'Daily Log'!$A$2:$A$80,0)),"")</f>
        <v>70.5</v>
      </c>
      <c r="H4" s="25" t="n">
        <f aca="false">IF(OR(G4="",G3=""),"",G4-G3)</f>
        <v>-0.400000000000006</v>
      </c>
    </row>
    <row r="5" customFormat="false" ht="15" hidden="false" customHeight="false" outlineLevel="0" collapsed="false">
      <c r="A5" s="23" t="n">
        <v>46202</v>
      </c>
      <c r="B5" s="23" t="n">
        <v>46208</v>
      </c>
      <c r="C5" s="24" t="n">
        <f aca="false">IFERROR(AVERAGEIFS('Daily Log'!$G$2:$G$80,'Daily Log'!$A$2:$A$80,"&gt;="&amp;A5,'Daily Log'!$A$2:$A$80,"&lt;="&amp;B5,'Daily Log'!$M$2:$M$80,1),"")</f>
        <v>1826.42857142857</v>
      </c>
      <c r="D5" s="24" t="n">
        <f aca="false">IFERROR(AVERAGEIFS('Daily Log'!$I$2:$I$80,'Daily Log'!$A$2:$A$80,"&gt;="&amp;A5,'Daily Log'!$A$2:$A$80,"&lt;="&amp;B5,'Daily Log'!$M$2:$M$80,1),"")</f>
        <v>1701.57142857143</v>
      </c>
      <c r="E5" s="24" t="n">
        <f aca="false">IF(OR(C5="",D5=""),"",D5-C5)</f>
        <v>-124.857142857143</v>
      </c>
      <c r="F5" s="3" t="n">
        <f aca="false">COUNTIFS('Daily Log'!$A$2:$A$80,"&gt;="&amp;A5,'Daily Log'!$A$2:$A$80,"&lt;="&amp;B5,'Daily Log'!$G$2:$G$80,"&lt;&gt;"&amp;"""")</f>
        <v>7</v>
      </c>
      <c r="G5" s="25" t="n">
        <f aca="false">IFERROR(INDEX('Daily Log'!$K$2:$K$80,MATCH(_xlfn.MAXIFS('Daily Log'!$A$2:$A$80,'Daily Log'!$A$2:$A$80,"&gt;="&amp;A5,'Daily Log'!$A$2:$A$80,"&lt;="&amp;B5,'Daily Log'!$K$2:$K$80,"&lt;&gt;"),'Daily Log'!$A$2:$A$80,0)),"")</f>
        <v>71.6</v>
      </c>
      <c r="H5" s="25" t="n">
        <f aca="false">IF(OR(G5="",G4=""),"",G5-G4)</f>
        <v>1.09999999999999</v>
      </c>
    </row>
    <row r="6" customFormat="false" ht="15" hidden="false" customHeight="false" outlineLevel="0" collapsed="false">
      <c r="A6" s="23" t="n">
        <v>46209</v>
      </c>
      <c r="B6" s="23" t="n">
        <v>46215</v>
      </c>
      <c r="C6" s="24" t="n">
        <f aca="false">IFERROR(AVERAGEIFS('Daily Log'!$G$2:$G$80,'Daily Log'!$A$2:$A$80,"&gt;="&amp;A6,'Daily Log'!$A$2:$A$80,"&lt;="&amp;B6,'Daily Log'!$M$2:$M$80,1),"")</f>
        <v>1720.71428571429</v>
      </c>
      <c r="D6" s="24" t="n">
        <f aca="false">IFERROR(AVERAGEIFS('Daily Log'!$I$2:$I$80,'Daily Log'!$A$2:$A$80,"&gt;="&amp;A6,'Daily Log'!$A$2:$A$80,"&lt;="&amp;B6,'Daily Log'!$M$2:$M$80,1),"")</f>
        <v>1673.42857142857</v>
      </c>
      <c r="E6" s="24" t="n">
        <f aca="false">IF(OR(C6="",D6=""),"",D6-C6)</f>
        <v>-47.2857142857145</v>
      </c>
      <c r="F6" s="3" t="n">
        <f aca="false">COUNTIFS('Daily Log'!$A$2:$A$80,"&gt;="&amp;A6,'Daily Log'!$A$2:$A$80,"&lt;="&amp;B6,'Daily Log'!$G$2:$G$80,"&lt;&gt;"&amp;"""")</f>
        <v>7</v>
      </c>
      <c r="G6" s="25" t="n">
        <f aca="false">IFERROR(INDEX('Daily Log'!$K$2:$K$80,MATCH(_xlfn.MAXIFS('Daily Log'!$A$2:$A$80,'Daily Log'!$A$2:$A$80,"&gt;="&amp;A6,'Daily Log'!$A$2:$A$80,"&lt;="&amp;B6,'Daily Log'!$K$2:$K$80,"&lt;&gt;"),'Daily Log'!$A$2:$A$80,0)),"")</f>
        <v>70.65</v>
      </c>
      <c r="H6" s="25" t="n">
        <f aca="false">IF(OR(G6="",G5=""),"",G6-G5)</f>
        <v>-0.949999999999989</v>
      </c>
    </row>
    <row r="7" customFormat="false" ht="15" hidden="false" customHeight="false" outlineLevel="0" collapsed="false">
      <c r="A7" s="23" t="n">
        <v>46216</v>
      </c>
      <c r="B7" s="23" t="n">
        <v>46222</v>
      </c>
      <c r="C7" s="24" t="n">
        <f aca="false">IFERROR(AVERAGEIFS('Daily Log'!$G$2:$G$80,'Daily Log'!$A$2:$A$80,"&gt;="&amp;A7,'Daily Log'!$A$2:$A$80,"&lt;="&amp;B7,'Daily Log'!$M$2:$M$80,1),"")</f>
        <v>1803.57142857143</v>
      </c>
      <c r="D7" s="24" t="n">
        <f aca="false">IFERROR(AVERAGEIFS('Daily Log'!$I$2:$I$80,'Daily Log'!$A$2:$A$80,"&gt;="&amp;A7,'Daily Log'!$A$2:$A$80,"&lt;="&amp;B7,'Daily Log'!$M$2:$M$80,1),"")</f>
        <v>1641.14285714286</v>
      </c>
      <c r="E7" s="24" t="n">
        <f aca="false">IF(OR(C7="",D7=""),"",D7-C7)</f>
        <v>-162.428571428572</v>
      </c>
      <c r="F7" s="3" t="n">
        <f aca="false">COUNTIFS('Daily Log'!$A$2:$A$80,"&gt;="&amp;A7,'Daily Log'!$A$2:$A$80,"&lt;="&amp;B7,'Daily Log'!$G$2:$G$80,"&lt;&gt;"&amp;"""")</f>
        <v>7</v>
      </c>
      <c r="G7" s="25" t="n">
        <f aca="false">IFERROR(INDEX('Daily Log'!$K$2:$K$80,MATCH(_xlfn.MAXIFS('Daily Log'!$A$2:$A$80,'Daily Log'!$A$2:$A$80,"&gt;="&amp;A7,'Daily Log'!$A$2:$A$80,"&lt;="&amp;B7,'Daily Log'!$K$2:$K$80,"&lt;&gt;"),'Daily Log'!$A$2:$A$80,0)),"")</f>
        <v>70.9</v>
      </c>
      <c r="H7" s="25" t="n">
        <f aca="false">IF(OR(G7="",G6=""),"",G7-G6)</f>
        <v>0.25</v>
      </c>
    </row>
    <row r="8" customFormat="false" ht="15" hidden="false" customHeight="false" outlineLevel="0" collapsed="false">
      <c r="A8" s="23" t="n">
        <v>46223</v>
      </c>
      <c r="B8" s="23" t="n">
        <v>46229</v>
      </c>
      <c r="C8" s="24" t="n">
        <f aca="false">IFERROR(AVERAGEIFS('Daily Log'!$G$2:$G$80,'Daily Log'!$A$2:$A$80,"&gt;="&amp;A8,'Daily Log'!$A$2:$A$80,"&lt;="&amp;B8,'Daily Log'!$M$2:$M$80,1),"")</f>
        <v>1611.42857142857</v>
      </c>
      <c r="D8" s="24" t="n">
        <f aca="false">IFERROR(AVERAGEIFS('Daily Log'!$I$2:$I$80,'Daily Log'!$A$2:$A$80,"&gt;="&amp;A8,'Daily Log'!$A$2:$A$80,"&lt;="&amp;B8,'Daily Log'!$M$2:$M$80,1),"")</f>
        <v>1744.42857142857</v>
      </c>
      <c r="E8" s="24" t="n">
        <f aca="false">IF(OR(C8="",D8=""),"",D8-C8)</f>
        <v>133</v>
      </c>
      <c r="F8" s="3" t="n">
        <f aca="false">COUNTIFS('Daily Log'!$A$2:$A$80,"&gt;="&amp;A8,'Daily Log'!$A$2:$A$80,"&lt;="&amp;B8,'Daily Log'!$G$2:$G$80,"&lt;&gt;"&amp;"""")</f>
        <v>7</v>
      </c>
      <c r="G8" s="25" t="n">
        <f aca="false">IFERROR(INDEX('Daily Log'!$K$2:$K$80,MATCH(_xlfn.MAXIFS('Daily Log'!$A$2:$A$80,'Daily Log'!$A$2:$A$80,"&gt;="&amp;A8,'Daily Log'!$A$2:$A$80,"&lt;="&amp;B8,'Daily Log'!$K$2:$K$80,"&lt;&gt;"),'Daily Log'!$A$2:$A$80,0)),"")</f>
        <v>70.4</v>
      </c>
      <c r="H8" s="25" t="n">
        <f aca="false">IF(OR(G8="",G7=""),"",G8-G7)</f>
        <v>-0.5</v>
      </c>
    </row>
    <row r="9" customFormat="false" ht="15" hidden="false" customHeight="false" outlineLevel="0" collapsed="false">
      <c r="A9" s="23" t="n">
        <v>46230</v>
      </c>
      <c r="B9" s="23" t="n">
        <v>46236</v>
      </c>
      <c r="C9" s="24" t="n">
        <f aca="false">IFERROR(AVERAGEIFS('Daily Log'!$G$2:$G$80,'Daily Log'!$A$2:$A$80,"&gt;="&amp;A9,'Daily Log'!$A$2:$A$80,"&lt;="&amp;B9,'Daily Log'!$M$2:$M$80,1),"")</f>
        <v>1720</v>
      </c>
      <c r="D9" s="24" t="n">
        <f aca="false">IFERROR(AVERAGEIFS('Daily Log'!$I$2:$I$80,'Daily Log'!$A$2:$A$80,"&gt;="&amp;A9,'Daily Log'!$A$2:$A$80,"&lt;="&amp;B9,'Daily Log'!$M$2:$M$80,1),"")</f>
        <v>1950.85714285714</v>
      </c>
      <c r="E9" s="24" t="n">
        <f aca="false">IF(OR(C9="",D9=""),"",D9-C9)</f>
        <v>230.857142857143</v>
      </c>
      <c r="F9" s="3" t="n">
        <f aca="false">COUNTIFS('Daily Log'!$A$2:$A$80,"&gt;="&amp;A9,'Daily Log'!$A$2:$A$80,"&lt;="&amp;B9,'Daily Log'!$G$2:$G$80,"&lt;&gt;"&amp;"""")</f>
        <v>7</v>
      </c>
      <c r="G9" s="25" t="n">
        <f aca="false">IFERROR(INDEX('Daily Log'!$K$2:$K$80,MATCH(_xlfn.MAXIFS('Daily Log'!$A$2:$A$80,'Daily Log'!$A$2:$A$80,"&gt;="&amp;A9,'Daily Log'!$A$2:$A$80,"&lt;="&amp;B9,'Daily Log'!$K$2:$K$80,"&lt;&gt;"),'Daily Log'!$A$2:$A$80,0)),"")</f>
        <v>70.8</v>
      </c>
      <c r="H9" s="25" t="n">
        <f aca="false">IF(OR(G9="",G8=""),"",G9-G8)</f>
        <v>0.399999999999992</v>
      </c>
    </row>
    <row r="10" customFormat="false" ht="15" hidden="false" customHeight="false" outlineLevel="0" collapsed="false">
      <c r="A10" s="23" t="n">
        <v>46237</v>
      </c>
      <c r="B10" s="23" t="n">
        <v>46243</v>
      </c>
      <c r="C10" s="24" t="n">
        <f aca="false">IFERROR(AVERAGEIFS('Daily Log'!$G$2:$G$80,'Daily Log'!$A$2:$A$80,"&gt;="&amp;A10,'Daily Log'!$A$2:$A$80,"&lt;="&amp;B10,'Daily Log'!$M$2:$M$80,1),"")</f>
        <v>1687.57142857143</v>
      </c>
      <c r="D10" s="24" t="n">
        <f aca="false">IFERROR(AVERAGEIFS('Daily Log'!$I$2:$I$80,'Daily Log'!$A$2:$A$80,"&gt;="&amp;A10,'Daily Log'!$A$2:$A$80,"&lt;="&amp;B10,'Daily Log'!$M$2:$M$80,1),"")</f>
        <v>1936.85714285714</v>
      </c>
      <c r="E10" s="24" t="n">
        <f aca="false">IF(OR(C10="",D10=""),"",D10-C10)</f>
        <v>249.285714285714</v>
      </c>
      <c r="F10" s="3" t="n">
        <f aca="false">COUNTIFS('Daily Log'!$A$2:$A$80,"&gt;="&amp;A10,'Daily Log'!$A$2:$A$80,"&lt;="&amp;B10,'Daily Log'!$G$2:$G$80,"&lt;&gt;"&amp;"""")</f>
        <v>7</v>
      </c>
      <c r="G10" s="25" t="n">
        <f aca="false">IFERROR(INDEX('Daily Log'!$K$2:$K$80,MATCH(_xlfn.MAXIFS('Daily Log'!$A$2:$A$80,'Daily Log'!$A$2:$A$80,"&gt;="&amp;A10,'Daily Log'!$A$2:$A$80,"&lt;="&amp;B10,'Daily Log'!$K$2:$K$80,"&lt;&gt;"),'Daily Log'!$A$2:$A$80,0)),"")</f>
        <v>70.8</v>
      </c>
      <c r="H10" s="25" t="n">
        <f aca="false">IF(OR(G10="",G9=""),"",G10-G9)</f>
        <v>0</v>
      </c>
    </row>
    <row r="11" customFormat="false" ht="15" hidden="false" customHeight="false" outlineLevel="0" collapsed="false">
      <c r="A11" s="23" t="n">
        <v>46244</v>
      </c>
      <c r="B11" s="23" t="n">
        <v>46250</v>
      </c>
      <c r="C11" s="24" t="n">
        <f aca="false">IFERROR(AVERAGEIFS('Daily Log'!$G$2:$G$80,'Daily Log'!$A$2:$A$80,"&gt;="&amp;A11,'Daily Log'!$A$2:$A$80,"&lt;="&amp;B11,'Daily Log'!$M$2:$M$80,1),"")</f>
        <v>1847.14285714286</v>
      </c>
      <c r="D11" s="24" t="n">
        <f aca="false">IFERROR(AVERAGEIFS('Daily Log'!$I$2:$I$80,'Daily Log'!$A$2:$A$80,"&gt;="&amp;A11,'Daily Log'!$A$2:$A$80,"&lt;="&amp;B11,'Daily Log'!$M$2:$M$80,1),"")</f>
        <v>1802.42857142857</v>
      </c>
      <c r="E11" s="24" t="n">
        <f aca="false">IF(OR(C11="",D11=""),"",D11-C11)</f>
        <v>-44.7142857142858</v>
      </c>
      <c r="F11" s="3" t="n">
        <f aca="false">COUNTIFS('Daily Log'!$A$2:$A$80,"&gt;="&amp;A11,'Daily Log'!$A$2:$A$80,"&lt;="&amp;B11,'Daily Log'!$G$2:$G$80,"&lt;&gt;"&amp;"""")</f>
        <v>7</v>
      </c>
      <c r="G11" s="25" t="n">
        <f aca="false">IFERROR(INDEX('Daily Log'!$K$2:$K$80,MATCH(_xlfn.MAXIFS('Daily Log'!$A$2:$A$80,'Daily Log'!$A$2:$A$80,"&gt;="&amp;A11,'Daily Log'!$A$2:$A$80,"&lt;="&amp;B11,'Daily Log'!$K$2:$K$80,"&lt;&gt;"),'Daily Log'!$A$2:$A$80,0)),"")</f>
        <v>71</v>
      </c>
      <c r="H11" s="25" t="n">
        <f aca="false">IF(OR(G11="",G10=""),"",G11-G10)</f>
        <v>0.200000000000003</v>
      </c>
    </row>
    <row r="12" customFormat="false" ht="15" hidden="false" customHeight="false" outlineLevel="0" collapsed="false">
      <c r="A12" s="23" t="n">
        <v>46251</v>
      </c>
      <c r="B12" s="23" t="n">
        <v>46257</v>
      </c>
      <c r="C12" s="24" t="n">
        <f aca="false">IFERROR(AVERAGEIFS('Daily Log'!$G$2:$G$80,'Daily Log'!$A$2:$A$80,"&gt;="&amp;A12,'Daily Log'!$A$2:$A$80,"&lt;="&amp;B12,'Daily Log'!$M$2:$M$80,1),"")</f>
        <v>1654.28571428571</v>
      </c>
      <c r="D12" s="24" t="n">
        <f aca="false">IFERROR(AVERAGEIFS('Daily Log'!$I$2:$I$80,'Daily Log'!$A$2:$A$80,"&gt;="&amp;A12,'Daily Log'!$A$2:$A$80,"&lt;="&amp;B12,'Daily Log'!$M$2:$M$80,1),"")</f>
        <v>1607.71428571429</v>
      </c>
      <c r="E12" s="24" t="n">
        <f aca="false">IF(OR(C12="",D12=""),"",D12-C12)</f>
        <v>-46.5714285714284</v>
      </c>
      <c r="F12" s="3" t="n">
        <f aca="false">COUNTIFS('Daily Log'!$A$2:$A$80,"&gt;="&amp;A12,'Daily Log'!$A$2:$A$80,"&lt;="&amp;B12,'Daily Log'!$G$2:$G$80,"&lt;&gt;"&amp;"""")</f>
        <v>7</v>
      </c>
      <c r="G12" s="25" t="n">
        <f aca="false">IFERROR(INDEX('Daily Log'!$K$2:$K$80,MATCH(_xlfn.MAXIFS('Daily Log'!$A$2:$A$80,'Daily Log'!$A$2:$A$80,"&gt;="&amp;A12,'Daily Log'!$A$2:$A$80,"&lt;="&amp;B12,'Daily Log'!$K$2:$K$80,"&lt;&gt;"),'Daily Log'!$A$2:$A$80,0)),"")</f>
        <v>71.3</v>
      </c>
      <c r="H12" s="25" t="n">
        <f aca="false">IF(OR(G12="",G11=""),"",G12-G11)</f>
        <v>0.299999999999997</v>
      </c>
    </row>
    <row r="13" customFormat="false" ht="15" hidden="false" customHeight="false" outlineLevel="0" collapsed="false">
      <c r="A13" s="23" t="n">
        <v>46258</v>
      </c>
      <c r="B13" s="23" t="n">
        <v>46264</v>
      </c>
      <c r="C13" s="24" t="n">
        <f aca="false">IFERROR(AVERAGEIFS('Daily Log'!$G$2:$G$80,'Daily Log'!$A$2:$A$80,"&gt;="&amp;A13,'Daily Log'!$A$2:$A$80,"&lt;="&amp;B13,'Daily Log'!$M$2:$M$80,1),"")</f>
        <v>1900</v>
      </c>
      <c r="D13" s="24" t="n">
        <f aca="false">IFERROR(AVERAGEIFS('Daily Log'!$I$2:$I$80,'Daily Log'!$A$2:$A$80,"&gt;="&amp;A13,'Daily Log'!$A$2:$A$80,"&lt;="&amp;B13,'Daily Log'!$M$2:$M$80,1),"")</f>
        <v>1643</v>
      </c>
      <c r="E13" s="24" t="n">
        <f aca="false">IF(OR(C13="",D13=""),"",D13-C13)</f>
        <v>-257</v>
      </c>
      <c r="F13" s="3" t="n">
        <f aca="false">COUNTIFS('Daily Log'!$A$2:$A$80,"&gt;="&amp;A13,'Daily Log'!$A$2:$A$80,"&lt;="&amp;B13,'Daily Log'!$G$2:$G$80,"&lt;&gt;"&amp;"""")</f>
        <v>2</v>
      </c>
      <c r="G13" s="25" t="n">
        <f aca="false">IFERROR(INDEX('Daily Log'!$K$2:$K$80,MATCH(_xlfn.MAXIFS('Daily Log'!$A$2:$A$80,'Daily Log'!$A$2:$A$80,"&gt;="&amp;A13,'Daily Log'!$A$2:$A$80,"&lt;="&amp;B13,'Daily Log'!$K$2:$K$80,"&lt;&gt;"),'Daily Log'!$A$2:$A$80,0)),"")</f>
        <v>71.2</v>
      </c>
      <c r="H13" s="25" t="n">
        <f aca="false">IF(OR(G13="",G12=""),"",G13-G12)</f>
        <v>-0.0999999999999943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8"/>
    <col collapsed="false" customWidth="true" hidden="false" outlineLevel="0" max="8" min="8" style="0" width="16"/>
  </cols>
  <sheetData>
    <row r="1" customFormat="false" ht="26.85" hidden="false" customHeight="false" outlineLevel="0" collapsed="false">
      <c r="A1" s="1" t="s">
        <v>52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53</v>
      </c>
      <c r="G1" s="1" t="s">
        <v>54</v>
      </c>
      <c r="H1" s="1" t="s">
        <v>55</v>
      </c>
    </row>
    <row r="2" customFormat="false" ht="15" hidden="false" customHeight="false" outlineLevel="0" collapsed="false">
      <c r="A2" s="27" t="s">
        <v>56</v>
      </c>
      <c r="B2" s="24" t="n">
        <f aca="false">IFERROR(AVERAGEIFS('Daily Log'!$G$2:$G$80,'Daily Log'!$A$2:$A$80,"&gt;="&amp;DATE(2026,6,1),'Daily Log'!$A$2:$A$80,"&lt;="&amp;DATE(2026,6,30),'Daily Log'!$M$2:$M$80,1),"")</f>
        <v>1738.75</v>
      </c>
      <c r="C2" s="24" t="n">
        <f aca="false">IFERROR(AVERAGEIFS('Daily Log'!$I$2:$I$80,'Daily Log'!$A$2:$A$80,"&gt;="&amp;DATE(2026,6,1),'Daily Log'!$A$2:$A$80,"&lt;="&amp;DATE(2026,6,30),'Daily Log'!$M$2:$M$80,1),"")</f>
        <v>1642.65</v>
      </c>
      <c r="D2" s="24" t="n">
        <f aca="false">IF(OR(B2="",C2=""),"",C2-B2)</f>
        <v>-96.0999999999999</v>
      </c>
      <c r="E2" s="3" t="n">
        <f aca="false">COUNTIFS('Daily Log'!$A$2:$A$80,"&gt;="&amp;DATE(2026,6,1),'Daily Log'!$A$2:$A$80,"&lt;="&amp;DATE(2026,6,30),'Daily Log'!$G$2:$G$80,"&lt;&gt;"&amp;"""")</f>
        <v>23</v>
      </c>
      <c r="F2" s="25" t="n">
        <f aca="false">IFERROR(INDEX('Daily Log'!$K$2:$K$80,MATCH(_xlfn.MINIFS('Daily Log'!$A$2:$A$80,'Daily Log'!$A$2:$A$80,"&gt;="&amp;DATE(2026,6,1),'Daily Log'!$A$2:$A$80,"&lt;="&amp;DATE(2026,6,30),'Daily Log'!$K$2:$K$80,"&lt;&gt;"),'Daily Log'!$A$2:$A$80,0)),"")</f>
        <v>71.3</v>
      </c>
      <c r="G2" s="25" t="n">
        <f aca="false">IFERROR(INDEX('Daily Log'!$K$2:$K$80,MATCH(_xlfn.MAXIFS('Daily Log'!$A$2:$A$80,'Daily Log'!$A$2:$A$80,"&gt;="&amp;DATE(2026,6,1),'Daily Log'!$A$2:$A$80,"&lt;="&amp;DATE(2026,6,30),'Daily Log'!$K$2:$K$80,"&lt;&gt;"),'Daily Log'!$A$2:$A$80,0)),"")</f>
        <v>71.6</v>
      </c>
      <c r="H2" s="25" t="n">
        <f aca="false">IF(OR(F2="",G2=""),"",G2-F2)</f>
        <v>0.299999999999997</v>
      </c>
    </row>
    <row r="3" customFormat="false" ht="15" hidden="false" customHeight="false" outlineLevel="0" collapsed="false">
      <c r="A3" s="27" t="s">
        <v>57</v>
      </c>
      <c r="B3" s="24" t="n">
        <f aca="false">IFERROR(AVERAGEIFS('Daily Log'!$G$2:$G$80,'Daily Log'!$A$2:$A$80,"&gt;="&amp;DATE(2026,7,1),'Daily Log'!$A$2:$A$80,"&lt;="&amp;DATE(2026,7,31),'Daily Log'!$M$2:$M$80,1),"")</f>
        <v>1749.51612903226</v>
      </c>
      <c r="C3" s="24" t="n">
        <f aca="false">IFERROR(AVERAGEIFS('Daily Log'!$I$2:$I$80,'Daily Log'!$A$2:$A$80,"&gt;="&amp;DATE(2026,7,1),'Daily Log'!$A$2:$A$80,"&lt;="&amp;DATE(2026,7,31),'Daily Log'!$M$2:$M$80,1),"")</f>
        <v>1704.8064516129</v>
      </c>
      <c r="D3" s="24" t="n">
        <f aca="false">IF(OR(B3="",C3=""),"",C3-B3)</f>
        <v>-44.7096774193549</v>
      </c>
      <c r="E3" s="3" t="n">
        <f aca="false">COUNTIFS('Daily Log'!$A$2:$A$80,"&gt;="&amp;DATE(2026,7,1),'Daily Log'!$A$2:$A$80,"&lt;="&amp;DATE(2026,7,31),'Daily Log'!$G$2:$G$80,"&lt;&gt;"&amp;"""")</f>
        <v>31</v>
      </c>
      <c r="F3" s="25" t="n">
        <f aca="false">IFERROR(INDEX('Daily Log'!$K$2:$K$80,MATCH(_xlfn.MINIFS('Daily Log'!$A$2:$A$80,'Daily Log'!$A$2:$A$80,"&gt;="&amp;DATE(2026,7,1),'Daily Log'!$A$2:$A$80,"&lt;="&amp;DATE(2026,7,31),'Daily Log'!$K$2:$K$80,"&lt;&gt;"),'Daily Log'!$A$2:$A$80,0)),"")</f>
        <v>70.65</v>
      </c>
      <c r="G3" s="25" t="n">
        <f aca="false">IFERROR(INDEX('Daily Log'!$K$2:$K$80,MATCH(_xlfn.MAXIFS('Daily Log'!$A$2:$A$80,'Daily Log'!$A$2:$A$80,"&gt;="&amp;DATE(2026,7,1),'Daily Log'!$A$2:$A$80,"&lt;="&amp;DATE(2026,7,31),'Daily Log'!$K$2:$K$80,"&lt;&gt;"),'Daily Log'!$A$2:$A$80,0)),"")</f>
        <v>70.8</v>
      </c>
      <c r="H3" s="25" t="n">
        <f aca="false">IF(OR(F3="",G3=""),"",G3-F3)</f>
        <v>0.149999999999991</v>
      </c>
    </row>
    <row r="4" customFormat="false" ht="15" hidden="false" customHeight="false" outlineLevel="0" collapsed="false">
      <c r="A4" s="27" t="s">
        <v>58</v>
      </c>
      <c r="B4" s="24" t="n">
        <f aca="false">IFERROR(AVERAGEIFS('Daily Log'!$G$2:$G$80,'Daily Log'!$A$2:$A$80,"&gt;="&amp;DATE(2026,8,1),'Daily Log'!$A$2:$A$80,"&lt;="&amp;DATE(2026,8,31),'Daily Log'!$M$2:$M$80,1),"")</f>
        <v>1728.04166666667</v>
      </c>
      <c r="C4" s="24" t="n">
        <f aca="false">IFERROR(AVERAGEIFS('Daily Log'!$I$2:$I$80,'Daily Log'!$A$2:$A$80,"&gt;="&amp;DATE(2026,8,1),'Daily Log'!$A$2:$A$80,"&lt;="&amp;DATE(2026,8,31),'Daily Log'!$M$2:$M$80,1),"")</f>
        <v>1818.75</v>
      </c>
      <c r="D4" s="24" t="n">
        <f aca="false">IF(OR(B4="",C4=""),"",C4-B4)</f>
        <v>90.7083333333333</v>
      </c>
      <c r="E4" s="3" t="n">
        <f aca="false">COUNTIFS('Daily Log'!$A$2:$A$80,"&gt;="&amp;DATE(2026,8,1),'Daily Log'!$A$2:$A$80,"&lt;="&amp;DATE(2026,8,31),'Daily Log'!$G$2:$G$80,"&lt;&gt;"&amp;"""")</f>
        <v>25</v>
      </c>
      <c r="F4" s="25" t="n">
        <f aca="false">IFERROR(INDEX('Daily Log'!$K$2:$K$80,MATCH(_xlfn.MINIFS('Daily Log'!$A$2:$A$80,'Daily Log'!$A$2:$A$80,"&gt;="&amp;DATE(2026,8,1),'Daily Log'!$A$2:$A$80,"&lt;="&amp;DATE(2026,8,31),'Daily Log'!$K$2:$K$80,"&lt;&gt;"),'Daily Log'!$A$2:$A$80,0)),"")</f>
        <v>70.8</v>
      </c>
      <c r="G4" s="25" t="n">
        <f aca="false">IFERROR(INDEX('Daily Log'!$K$2:$K$80,MATCH(_xlfn.MAXIFS('Daily Log'!$A$2:$A$80,'Daily Log'!$A$2:$A$80,"&gt;="&amp;DATE(2026,8,1),'Daily Log'!$A$2:$A$80,"&lt;="&amp;DATE(2026,8,31),'Daily Log'!$K$2:$K$80,"&lt;&gt;"),'Daily Log'!$A$2:$A$80,0)),"")</f>
        <v>71.2</v>
      </c>
      <c r="H4" s="25" t="n">
        <f aca="false">IF(OR(F4="",G4=""),"",G4-F4)</f>
        <v>0.400000000000006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2026-08-25T05:00:33Z</dcterms:created>
  <dc:creator>openpyxl</dc:creator>
  <dc:description/>
  <dc:language>en-US</dc:language>
  <cp:lastModifiedBy/>
  <dcterms:modified xsi:type="dcterms:W3CDTF">2026-08-25T05:00:35Z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